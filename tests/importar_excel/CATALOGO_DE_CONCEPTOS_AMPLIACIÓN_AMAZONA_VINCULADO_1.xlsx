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metadata.xml" ContentType="application/vnd.openxmlformats-officedocument.spreadsheetml.sheetMetadata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threadedComments/threadedComment1.xml" ContentType="application/vnd.ms-excel.threadedcomments+xml"/>
  <Override PartName="/xl/worksheets/sheet2.xml" ContentType="application/vnd.openxmlformats-officedocument.spreadsheetml.worksheet+xml"/>
  <Override PartName="/xl/threadedComments/threadedComment2.xml" ContentType="application/vnd.ms-excel.threadedcomments+xml"/>
  <Override PartName="/xl/comments2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Generadores" sheetId="1" state="visible" r:id="rId3"/>
    <sheet name="Catalogo de conceptos " sheetId="2" state="visible" r:id="rId4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tc={225F20B8-7AF4-82A8-CCB9-9DBE89BC1068}</author>
    <author>tc={22AD9ED4-A826-21A3-73CD-60013254FA14}</author>
  </authors>
  <commentList>
    <comment ref="F13" authorId="0" xr:uid="{225F20B8-7AF4-82A8-CCB9-9DBE89BC1068}">
      <text>
        <r>
          <rPr>
            <b/>
            <sz val="9"/>
            <rFont val="Tahoma"/>
          </rPr>
          <t>Perez:</t>
        </r>
        <r>
          <rPr>
            <sz val="9"/>
            <rFont val="Tahoma"/>
          </rPr>
          <t xml:space="preserve">
Verificar profundidad, en proyecto es 0.8m
</t>
        </r>
      </text>
    </comment>
    <comment ref="F14" authorId="1" xr:uid="{22AD9ED4-A826-21A3-73CD-60013254FA14}">
      <text>
        <r>
          <rPr>
            <b/>
            <sz val="9"/>
            <rFont val="Tahoma"/>
          </rPr>
          <t>Perez:</t>
        </r>
        <r>
          <rPr>
            <sz val="9"/>
            <rFont val="Tahoma"/>
          </rPr>
          <t xml:space="preserve">
Verificar profundidad, en proyecto es 0.8m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tc={74F65825-6E72-4114-939C-901F2293269F}</author>
    <author>tc={1F8CE41E-4797-4737-A6BD-9C748FCFC24E}</author>
    <author>tc={4022D02D-23E1-452B-9FA9-979B599D9FE8}</author>
    <author>tc={F7CD98C4-E387-4296-B1DD-1B404D10A861}</author>
    <author>tc={3DAF160F-109B-436B-9CA0-A54DBD601109}</author>
    <author>tc={DA52E26B-F525-4337-971A-6EF01CD6AD56}</author>
    <author>tc={97028B00-303E-4AC0-8097-3C61B1084B86}</author>
    <author>tc={4768EF7D-9013-4EDB-A409-3B7EA3C11F40}</author>
    <author>tc={05885ADA-4F6E-473F-8755-5168EA35819E}</author>
    <author>tc={7616D139-D6EC-48F3-8003-F49701F2B81F}</author>
    <author>tc={EC32FB9E-D6C1-4B9C-A0A8-78EBFB39A6D9}</author>
    <author>tc={3E9BD8BD-2C8B-4950-A4BD-09C7B5474197}</author>
    <author>tc={956D1505-E0DB-483B-AC59-C71FD30BE370}</author>
    <author>tc={78182AFA-6314-4D3F-B2DC-6661C95F06DB}</author>
    <author>tc={470C06B9-F333-4315-8A22-8D181E340217}</author>
    <author>tc={0404F575-C7F3-481E-8660-2159E1D6D0D1}</author>
    <author>tc={FB7F988C-3602-4444-9B28-953E11F55AE7}</author>
    <author>tc={935C7DBA-C1DF-444E-9A73-048F3D19E4DC}</author>
    <author>tc={056093AB-9730-4902-BE05-EAE2CA39B3FB}</author>
    <author>tc={7E473E7C-BD9B-4E48-A813-AE8BDC11F45D}</author>
    <author>tc={8057DE3C-7377-48B5-9A98-FD90912AC0BB}</author>
    <author>tc={31065033-AA9F-48E5-BDDE-41022C495C0A}</author>
    <author>tc={CD04982B-AD77-49BA-9272-AFCB0DC6A226}</author>
    <author>tc={7EAE6452-A763-41B9-96F9-25F94548B334}</author>
    <author>tc={DB043AA2-2C3A-4B41-85F7-4CDE2DB92BF9}</author>
    <author>tc={076B4EFA-C8FA-4094-8881-F187A3CE4917}</author>
    <author>tc={E03FE1C7-D1D3-4827-9AB5-6B942B9F7C4E}</author>
    <author>tc={45311CA1-55FE-47EF-A64E-261F434910E0}</author>
    <author>tc={C7540194-A4AC-43E8-8BC2-1FD19112A7B3}</author>
    <author>tc={AEC9E06B-3FB5-400D-A059-5D1BF48FF12A}</author>
  </authors>
  <commentList>
    <comment ref="F12" authorId="0" xr:uid="{74F65825-6E72-4114-939C-901F2293269F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Generadores solo tiene 'ZAPATA CORRIDA DE 1.00m', no 'ZAPATA AISLADA'. Verificar si es el mismo concepto o falta levantar.
</t>
        </r>
      </text>
    </comment>
    <comment ref="F13" authorId="1" xr:uid="{1F8CE41E-4797-4737-A6BD-9C748FCFC24E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Generadores solo tiene 'ZAPATA CORRIDA DE 1.00m', no 'ZAPATA AISLADA 1.20x1.20'. Verificar o falta levantar.
</t>
        </r>
      </text>
    </comment>
    <comment ref="F14" authorId="2" xr:uid="{4022D02D-23E1-452B-9FA9-979B599D9FE8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Generadores tiene 'DADO DE 0.65 X 0.20', no 'DADO DE 0.20 X 0.20'. Dimensiones no coinciden; verificar clave/levantamiento.
</t>
        </r>
      </text>
    </comment>
    <comment ref="F15" authorId="3" xr:uid="{F7CD98C4-E387-4296-B1DD-1B404D10A861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Generadores tiene 'DADO DE 0.65 X 0.25', no 'DADO DE 0.25 X 0.25'. Dimensiones no coinciden; verificar clave/levantamiento.
</t>
        </r>
      </text>
    </comment>
    <comment ref="F20" authorId="4" xr:uid="{3DAF160F-109B-436B-9CA0-A54DBD601109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Generadores no tiene una 'DALA DE CERRAMIENTO...PARA CONFINAR CIMENTACION' independiente (solo existe la de acabado aparente, ya vinculada en 03-004). Verificar si aplica o falta levantar.
</t>
        </r>
      </text>
    </comment>
    <comment ref="F21" authorId="5" xr:uid="{DA52E26B-F525-4337-971A-6EF01CD6AD56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Generadores tiene 'RELLENO...POR CAPAS DE 20cm' (general), no uno específico 'EN TRABES DE LIGA'. Verificar si es el mismo o falta levantar.
</t>
        </r>
      </text>
    </comment>
    <comment ref="F25" authorId="6" xr:uid="{97028B00-303E-4AC0-8097-3C61B1084B86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Generadores tiene 'CASTILLO 16*15cm', catálogo pide '15*15cm'. Posible error de captura en alguno de los dos; verificar antes de vincular.
</t>
        </r>
      </text>
    </comment>
    <comment ref="F26" authorId="7" xr:uid="{4768EF7D-9013-4EDB-A409-3B7EA3C11F40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Generadores tiene 'COLUMNA DE 0.40 X 0.20', catálogo pide '20 X 50cm'. No coinciden dimensiones; verificar clave/levantamiento.
</t>
        </r>
      </text>
    </comment>
    <comment ref="F28" authorId="8" xr:uid="{05885ADA-4F6E-473F-8755-5168EA35819E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Concepto 'VIGA TIPO V1' sin descripción técnica ni datos en Generadores. Falta levantar o completar descripción.
</t>
        </r>
      </text>
    </comment>
    <comment ref="F29" authorId="9" xr:uid="{7616D139-D6EC-48F3-8003-F49701F2B81F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Concepto 'VIGA TIPO V2' sin descripción técnica ni datos en Generadores. Falta levantar o completar descripción.
</t>
        </r>
      </text>
    </comment>
    <comment ref="F31" authorId="10" xr:uid="{EC32FB9E-D6C1-4B9C-A0A8-78EBFB39A6D9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Generadores tiene 'LOSA ALIGERADA DE 20cm', catálogo pide 'LOSA DE VIGUETA Y DOVELA DE 25cm'. Son sistemas distintos; verificar.
</t>
        </r>
      </text>
    </comment>
    <comment ref="F32" authorId="11" xr:uid="{3E9BD8BD-2C8B-4950-A4BD-09C7B5474197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No se encontró concepto de 'PRETIL' en Generadores. Falta levantar.
</t>
        </r>
      </text>
    </comment>
    <comment ref="F34" authorId="12" xr:uid="{956D1505-E0DB-483B-AC59-C71FD30BE370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No se encontró concepto de 'GOTERO PARA VOLADO' en Generadores (existe un concepto genérico 'GOTERO' en filas 405/413, sin especificar si es para volado). Verificar antes de vincular.
</t>
        </r>
      </text>
    </comment>
    <comment ref="F36" authorId="13" xr:uid="{78182AFA-6314-4D3F-B2DC-6661C95F06DB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Generadores solo tiene aplanado de yeso 'EN MUROS' (fila 398); no hay uno específico 'EN PLAFONES'. No vincular para evitar mezclar cantidades.
</t>
        </r>
      </text>
    </comment>
    <comment ref="F5" authorId="14" xr:uid="{470C06B9-F333-4315-8A22-8D181E340217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No se encontró concepto equivalente en Generadores (demolición de piso no está levantada).
</t>
        </r>
      </text>
    </comment>
    <comment ref="F46" authorId="15" xr:uid="{0404F575-C7F3-481E-8660-2159E1D6D0D1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No se encontró concepto de tubería sanitaria en Generadores. Falta levantar instalación hidrosanitaria.
</t>
        </r>
      </text>
    </comment>
    <comment ref="F48" authorId="16" xr:uid="{FB7F988C-3602-4444-9B28-953E11F55AE7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No se encontró concepto de ramaleo hidráulico en Generadores. Falta levantar instalación hidrosanitaria.
</t>
        </r>
      </text>
    </comment>
    <comment ref="F49" authorId="17" xr:uid="{935C7DBA-C1DF-444E-9A73-048F3D19E4DC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No se encontró concepto de ramaleo hidráulico en Generadores. Falta levantar instalación hidrosanitaria.
</t>
        </r>
      </text>
    </comment>
    <comment ref="F50" authorId="18" xr:uid="{056093AB-9730-4902-BE05-EAE2CA39B3FB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No se encontró concepto de descarga sanitaria en Generadores. Falta levantar instalación hidrosanitaria.
</t>
        </r>
      </text>
    </comment>
    <comment ref="F6" authorId="19" xr:uid="{7E473E7C-BD9B-4E48-A813-AE8BDC11F45D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No se encontró concepto equivalente en Generadores (demolición de marquesina no está levantada).
</t>
        </r>
      </text>
    </comment>
    <comment ref="F51" authorId="20" xr:uid="{8057DE3C-7377-48B5-9A98-FD90912AC0BB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No se encontró concepto de descarga sanitaria en Generadores. Falta levantar instalación hidrosanitaria.
</t>
        </r>
      </text>
    </comment>
    <comment ref="F52" authorId="21" xr:uid="{31065033-AA9F-48E5-BDDE-41022C495C0A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No se encontró concepto de tubería sanitaria en Generadores. Falta levantar instalación hidrosanitaria.
</t>
        </r>
      </text>
    </comment>
    <comment ref="F53" authorId="22" xr:uid="{CD04982B-AD77-49BA-9272-AFCB0DC6A226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No se encontró concepto de tubería sanitaria en Generadores. Falta levantar instalación hidrosanitaria.
</t>
        </r>
      </text>
    </comment>
    <comment ref="F54" authorId="23" xr:uid="{7EAE6452-A763-41B9-96F9-25F94548B334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No se encontró concepto de tubo ventila en Generadores. Falta levantar instalación hidrosanitaria.
</t>
        </r>
      </text>
    </comment>
    <comment ref="F55" authorId="24" xr:uid="{DB043AA2-2C3A-4B41-85F7-4CDE2DB92BF9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No se encontró concepto de coladera en Generadores. Falta levantar instalación hidrosanitaria.
</t>
        </r>
      </text>
    </comment>
    <comment ref="F56" authorId="25" xr:uid="{076B4EFA-C8FA-4094-8881-F187A3CE4917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No se encontró concepto de WC en Generadores. Falta levantar muebles sanitarios.
</t>
        </r>
      </text>
    </comment>
    <comment ref="F57" authorId="26" xr:uid="{E03FE1C7-D1D3-4827-9AB5-6B942B9F7C4E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No se encontró concepto de lavabo en Generadores. Falta levantar muebles sanitarios.
</t>
        </r>
      </text>
    </comment>
    <comment ref="F59" authorId="27" xr:uid="{45311CA1-55FE-47EF-A64E-261F434910E0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No se encontró concepto de limpieza general en Generadores. Suele calcularse por área total de obra, no por generador.
</t>
        </r>
      </text>
    </comment>
    <comment ref="F71" authorId="28" xr:uid="{C7540194-A4AC-43E8-8BC2-1FD19112A7B3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Generadores solo tiene aplanado de yeso 'EN MUROS' (fila 398); no hay uno específico 'EN PLAFON'. No vincular para evitar mezclar cantidades.
</t>
        </r>
      </text>
    </comment>
    <comment ref="F75" authorId="29" xr:uid="{AEC9E06B-3FB5-400D-A059-5D1BF48FF12A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Generadores solo tiene aplanado de yeso 'EN MUROS' (fila 398); no hay uno específico 'EN PLAFON'. No vincular para evitar mezclar cantidades.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<sst xmlns="http://schemas.openxmlformats.org/spreadsheetml/2006/main" count="231" uniqueCount="231">
  <si>
    <t xml:space="preserve">Obra: </t>
  </si>
  <si>
    <t>Fecha:</t>
  </si>
  <si>
    <t>Ubicación:</t>
  </si>
  <si>
    <t xml:space="preserve">Hoja No:</t>
  </si>
  <si>
    <t>CONCEPTO:</t>
  </si>
  <si>
    <t xml:space="preserve">TRAZO Y NIVELACIÓN CON NIVELETAS, HILOS Y CAL. INCLUYE; MATERIAL, MANO DE OBRA Y HERRAMIENTA.</t>
  </si>
  <si>
    <t>TOTAL:</t>
  </si>
  <si>
    <t>Eje</t>
  </si>
  <si>
    <t>Tramo</t>
  </si>
  <si>
    <t>Unidad</t>
  </si>
  <si>
    <t>Largo</t>
  </si>
  <si>
    <t>Ancho</t>
  </si>
  <si>
    <t>Alto</t>
  </si>
  <si>
    <t xml:space="preserve">No de Pzas.</t>
  </si>
  <si>
    <t>Parcial</t>
  </si>
  <si>
    <t>Observaciones</t>
  </si>
  <si>
    <t>A-B</t>
  </si>
  <si>
    <t>10-17</t>
  </si>
  <si>
    <t>M2</t>
  </si>
  <si>
    <t xml:space="preserve">EXCAVACIÓN POR MEDIOS MECÁNICOS PARA CIMENTACIÓN A UNA PROFUNDIDAD DE 1.35M. INCLUYE; RETROEXCAVADORA Y OPERADOR.</t>
  </si>
  <si>
    <t>12-17</t>
  </si>
  <si>
    <t>M3</t>
  </si>
  <si>
    <t>G-H</t>
  </si>
  <si>
    <t xml:space="preserve">EXCAVACIÓN POR MEDIOS MECÁNICOS PARA TRABE DE LIGA PROFUNDIDAD 70CM INCLUYE; RETROEXCAVADORA Y OPERADOR.</t>
  </si>
  <si>
    <t xml:space="preserve">AFINE DE EXCAVACIÓN POR MEDIOS MANUALES. INCLUYE; MANO DE OBRA Y HERRAMIENTA.</t>
  </si>
  <si>
    <t xml:space="preserve">PLANTILLA DE CONCRETO F´c=100 kg/cm2 HECHO EN OBRA DE 5 cm DE ESPESOR. INCLUYE; MATERIAL, MANO DE OBRA Y HERRAMIENTA.</t>
  </si>
  <si>
    <t>m²</t>
  </si>
  <si>
    <t xml:space="preserve">ZAPATA CORRIDA DE 1.00m, ESPESOR DE 15 cm EN EL PERIMETRO Y 20 cm AL CENTRO, CONCRETO F´c= 200 kg/cm2, ARMADA CON UNA PARRILLA SENCILLA DE VAR #3 EN DOS DIRECCIONES @ 20 cm. INCLUYE; MATERIAL, CIMBRA Y DESCIMBRA, COLADO, VIBRADO Y CURADO.</t>
  </si>
  <si>
    <t>A</t>
  </si>
  <si>
    <t>H</t>
  </si>
  <si>
    <t xml:space="preserve">DADO DE 0.65 X 0.20 m, CONCRETO F´c=200 kg/cm2, ARMADO CON 4 VAR # 3 Y ESTRIBOS #2 @ 20 cm. INCLUYE; MATERIALES, CIMBRA Y DESCIMBRA, COLADO, MANO DE OBRA, HERRAMIENTA Y EQUIPO.</t>
  </si>
  <si>
    <t>A,H</t>
  </si>
  <si>
    <t>ML</t>
  </si>
  <si>
    <t xml:space="preserve">MURO DE BLOCK PARA CIMENTACION. INCLUYE; MATERIAL, MANO DE OBRA, HERRAMIENTA Y EQUIPO.</t>
  </si>
  <si>
    <t xml:space="preserve">SUMINISTRO Y COLOCACIÓN DE IMPERMEABILIZANTE PARA ESTRUCTURAS ENTERRADAS BASE ASFALTO EN ZAPATAS Y DADOS. INCLUYE: MATERIAL, MANO DE OBRA Y HERRAMIENTA.</t>
  </si>
  <si>
    <t>.</t>
  </si>
  <si>
    <t xml:space="preserve">TRABE DE LIGA DE 0.30x0.15 m DE CONCRETO F´c=200 kg/cm2 ARMADA CON 4 VAR #5 Y ESTRIBOS #3 @ 20 cm. INCLUYE; MATERIAL, MANO DE OBRA, HERRAMIENTA Y EQUIPO.</t>
  </si>
  <si>
    <t xml:space="preserve">RELLENO Y COMPACTACIÓN  CON MATERIAL PRODUCTO DE EXCAVACIÓN POR CAPAS DE 20 cm, HUMECTADO CON AGUA. INCLUYE; MANO DE OBRA, HERRAMIENTA Y EQUIPO.</t>
  </si>
  <si>
    <t xml:space="preserve">CARGA Y RETIRO DE MATERIAL SOBRANTE DE LOS RELLENOS. INCLUYE; RETROEXCAVADORA, CAMION Y OPERADORES.</t>
  </si>
  <si>
    <t xml:space="preserve">MURO DE TABIQUE APARENTE A UNA SOLA CARA, ASENTADO CON MORTERO ARENA-CEMENTO 1:3, BOQUILLA DE 1.5 cm. INCLUYE; MATERIAL, MANO DE OBRA, HERRAMIENTA Y EQUIPO.</t>
  </si>
  <si>
    <t xml:space="preserve">Segundo Nivel</t>
  </si>
  <si>
    <t>E-H</t>
  </si>
  <si>
    <t>13-18</t>
  </si>
  <si>
    <t xml:space="preserve">CASTILLO 16*15 cm ACABADO APARENTE, REFORZADO CON 4 VAR #3 Y ESTRIBOS #2 @ 20 cm. INCLUYE: MATERIAL, CIMBRA, MANO DE OBRA, HERRAMIENTA Y EQUIPO.</t>
  </si>
  <si>
    <t>14-15</t>
  </si>
  <si>
    <t>E</t>
  </si>
  <si>
    <t>13-16</t>
  </si>
  <si>
    <t>G</t>
  </si>
  <si>
    <t>16-18</t>
  </si>
  <si>
    <t xml:space="preserve">COLUMNA DE 0.35 X 0.35 cm ACABADO APARENTE DE CONCRETO F´c=200 kg/cm2 REFORZADA CON 6 VAR #6(3/4") Y ESTRIBOS #3(3/8") @ 30 cm. INCLUYE; MATERIALES, CIMBRA, MANO DE OBRA, HERRAMIENTA Y EQUIPO.</t>
  </si>
  <si>
    <t xml:space="preserve">COLUMNA DE 0.40 X 0.20 cm ACABADO APARENTE DE CONCRETO F´c=200 kg/cm2 REFORZADA CON 6 VAR #5(5/8") Y ESTRIBOS #3(3/8") @ 20 cm. INCLUYE; MATERIALES, CIMBRA, MANO DE OBRA, HERRAMIENTA Y EQUIPO.</t>
  </si>
  <si>
    <t xml:space="preserve">DALA DE CERRAMIENTO 16 X 22 cm ACABADO APARENTE, REFORZADO CON 4 VAR #3 Y ESTRIBOS #2 @ 20 cm. INCLUYE; MATERIALES, CIMBRA, MANO DE OBRA, HERRAMIENTA Y EQUIPO.</t>
  </si>
  <si>
    <t xml:space="preserve">ENRRASE DE TABIQUE APARENTE DE 95 cm DE ALTURA, ASENTADO CON MORTERO ARENA-CEMENTO,  BOQUILLA DE 1.5 cm. INCLUYE; MATERIALES, MANO DE OBRA Y HERRAMIENTA.</t>
  </si>
  <si>
    <t>A-H</t>
  </si>
  <si>
    <t xml:space="preserve">VIGA A DE 0.20x0.25 M DE CONCRETO F´c=200 kg/cm2 ARMADA CON 2 VAR #4, 3 VAR #5 Y ESTRIBOS #2 @ 5 CM. INCLUYE; MATERIAL, MANO DE OBRA, HERRAMIENTA Y EQUIPO.</t>
  </si>
  <si>
    <t xml:space="preserve">VIGA C DE 0.60x0.20 M DE CONCRETO F´c=200 kg/cm2 ARMADA CON 2 VAR #4, 2 VAR #5 Y ESTRIBOS #3 @ 28 CM. INCLUYE; MATERIAL, MANO DE OBRA, HERRAMIENTA Y EQUIPO.</t>
  </si>
  <si>
    <t>13´</t>
  </si>
  <si>
    <t xml:space="preserve">VIGA D DE 0.30x0.20 M DE CONCRETO F´c=200 kg/cm2 ARMADA CON 2 VAR #4, 2 VAR #3 Y ESTRIBOS #3 @ 15 CM. INCLUYE; MATERIAL, MANO DE OBRA, HERRAMIENTA Y EQUIPO.</t>
  </si>
  <si>
    <t>17-18</t>
  </si>
  <si>
    <t xml:space="preserve">NERVADURA DE 0.20x0.15 M DE CONCRETO F´c=200 kg/cm2 CON ARMEX 15X20CM-4 INCLUYE; MATERIAL, MANO DE OBRA, HERRAMIENTA Y EQUIPO.</t>
  </si>
  <si>
    <t xml:space="preserve">LOSA ALIGERADA DE 20 CM DE ESPESOR. INCLUYE; MATERIAL, CIMBRA, MANO DE OBRA, CURADOR, HERRAMIENTA Y EQUIPO.</t>
  </si>
  <si>
    <t>Balcón</t>
  </si>
  <si>
    <t xml:space="preserve">Balcón Doble Altura</t>
  </si>
  <si>
    <t xml:space="preserve">LOSA MACIZA DE 10 CM DE ESPESOR. INCLUYE; MATERIAL, CIMBRA, MANO DE OBRA, CURADOR, HERRAMIENTA Y EQUIPO.</t>
  </si>
  <si>
    <t xml:space="preserve">AFINE POR MEDIOS MANUALES PARA RECIBIR PENDIENTES. INCLUYE; MANO DE OBRA Y HERRAMIENTA.</t>
  </si>
  <si>
    <t xml:space="preserve">APLANADO PARA EXTERIORES Y ZONAS HUMEDAS CON MORTERO CEMENTO-ARENA 1:3 DE 2 cm DE ESPESOR. INCLUYE; MATERIAL, MANO DE OBRA, ANDAMIOS Y HERRAMIENTA.</t>
  </si>
  <si>
    <t>15-18</t>
  </si>
  <si>
    <t>A-E</t>
  </si>
  <si>
    <t xml:space="preserve">ENTORTADO DE HASTA 2.5 cm ACABADO PLANEADO PARA RECIBIR PISO CERAMICO, A BASE DE MORTERO ARENA-CEMENTO 1:3. INCLUYE; MATERIAL, MANO DE OBRA Y HERRAMIENTA.</t>
  </si>
  <si>
    <t xml:space="preserve">Piso interior</t>
  </si>
  <si>
    <t>Terraza</t>
  </si>
  <si>
    <t xml:space="preserve">COLOCACIÓN DE PISO DE PORCELANATO, ASENTADO CON ADHESIVO PARA PISO Y EMBOQUILLADO, INCLUYE: MANO DE OBRA, RECORTES Y LIMPIEZA</t>
  </si>
  <si>
    <t xml:space="preserve">ZOCLO DE PORCELANATO DE 7.5X60 CM., MARCA INTERCERAMIC ASENTADO CON ADHESIVO PARA PISO Y EMBOQUILLADOR DE COLOR, INCLUYE RECORTES.</t>
  </si>
  <si>
    <t>13-15</t>
  </si>
  <si>
    <t>Interior</t>
  </si>
  <si>
    <t>15-16</t>
  </si>
  <si>
    <t xml:space="preserve">PINTURA VINILICA EN MUROS Y PLAFONES MARCA BEREL O SIMILAR EN COLOR BLANCO, INCLUYE: PREPARACION DE LA SUPERFICIE, DOS MANOS DE PINTURA</t>
  </si>
  <si>
    <t xml:space="preserve">IMPERMEABILIZACION DE LOSA A BASE DE ELASTOMERICO BLANCO, INCLUYE: LIMPIEZA, SELLADO DE GRIETAS, PRIMER, UNA CAPA IMPERMEABILIZANTE, UNA MALLA DE REFUERZO Y UNA SEGUNDA CAPA DE IMPERMEABILIZANTE</t>
  </si>
  <si>
    <t xml:space="preserve">SALIDA ELÉCTRICA DE CENTRO A CENTRO DE LUMINARIA, CON 4 CABLES THW 12 CONDUMEX O SIMILAR, INCLUYE: POLIDUCTO 3/4" Ø, CAJA 4X4", TAPA, CHALUPA, APAGADOR, CONEXIONES, HERRAMIENTA, MANO DE OBRA Y TODO LO NECESARIO PARA SU CORRECTA INSTALACIÓN.</t>
  </si>
  <si>
    <t xml:space="preserve">SALIDA PARA CONTACTO DOBLE POLARIZADO 110 VOLTS, INCLUYE: MATERIAL, MANO DE OBRA Y HERRAMIENTA.</t>
  </si>
  <si>
    <t xml:space="preserve">SALIDA PARA APAGADOR DOBLE MARCA QUINZIÑO O SIMILAR, POLIDUCTO 3/4" Ø, CABLES (3-14) MARCA CONDUMEX O SIMILAR, INCLUYE: APAGADOR, CAJA, TAPA, CONEXIONES, RANURADO Y RESANES.</t>
  </si>
  <si>
    <t xml:space="preserve">APLANADO PARA ACABADO FINO EN INTERIORES A BASE DE YESO DE 2 CM DE ESPESOR EN MUROS. INCLUYE; MATERIAL, MANO DE OBRA, ANDAMIOS Y HERRAMIENTA.</t>
  </si>
  <si>
    <t>GOTERO</t>
  </si>
  <si>
    <t>CLAVE</t>
  </si>
  <si>
    <t>DESCRIPCIÓN</t>
  </si>
  <si>
    <t>UNIDAD</t>
  </si>
  <si>
    <t>CANTIDAD</t>
  </si>
  <si>
    <t>CD</t>
  </si>
  <si>
    <t xml:space="preserve">IMPORTE DIRECTO</t>
  </si>
  <si>
    <t>INDIRECTOS</t>
  </si>
  <si>
    <t>UTILIDAD</t>
  </si>
  <si>
    <t>P.U.</t>
  </si>
  <si>
    <t>IMPORTE</t>
  </si>
  <si>
    <t>Capítulo</t>
  </si>
  <si>
    <t>-</t>
  </si>
  <si>
    <t>&amp;A</t>
  </si>
  <si>
    <t xml:space="preserve">PROYECTO ERIK</t>
  </si>
  <si>
    <t>Subcapítulo</t>
  </si>
  <si>
    <t>#01-000</t>
  </si>
  <si>
    <t xml:space="preserve">   PRELIMINARES</t>
  </si>
  <si>
    <t>%</t>
  </si>
  <si>
    <t xml:space="preserve">% EN $</t>
  </si>
  <si>
    <t>CD+IND</t>
  </si>
  <si>
    <t>$</t>
  </si>
  <si>
    <t>CD+IND+UTILIDAD</t>
  </si>
  <si>
    <t xml:space="preserve">UTILIDAD EN $</t>
  </si>
  <si>
    <t>Concepto</t>
  </si>
  <si>
    <t>01-001</t>
  </si>
  <si>
    <t xml:space="preserve">      TRAZO Y NIVELACIÓN CON NIVELETAS, HILOS Y CAL. INCLUYE; MATERIAL, MANO DE OBRA Y HERRAMIENTA.</t>
  </si>
  <si>
    <t>01-002</t>
  </si>
  <si>
    <t xml:space="preserve"> DEMOLICION DE PISO EXISTENTE.  INCLUYE; MATERIAL, MANO DE OBRA Y HERRAMIENTA.</t>
  </si>
  <si>
    <t>01-003</t>
  </si>
  <si>
    <t xml:space="preserve"> DEMOLICIONDE MARQUESINA EXISTENTE.  INCLUYE; MATERIAL, MANO DE OBRA Y HERRAMIENTA.</t>
  </si>
  <si>
    <t>LOTE</t>
  </si>
  <si>
    <t>#02-000</t>
  </si>
  <si>
    <t xml:space="preserve">   CIMENTACIÓN</t>
  </si>
  <si>
    <t>02-001</t>
  </si>
  <si>
    <t xml:space="preserve">      EXCAVACIÓN POR MEDIOS MECÁNICOS PARA CIMENTACIÓN A UNA PROFUNDIDAD DE 1.35M. INCLUYE; RETROEXCAVADORA Y OPERADOR.</t>
  </si>
  <si>
    <t>m³</t>
  </si>
  <si>
    <t>02-002</t>
  </si>
  <si>
    <t xml:space="preserve">      EXCAVACIÓN POR MEDIOS MECÁNICOS PARA TRABE DE LIGA PROFUNDIDAD 1.35CM INCLUYE; RETROEXCAVADORA Y OPERADOR.</t>
  </si>
  <si>
    <t>02-003</t>
  </si>
  <si>
    <t xml:space="preserve">      AFINE DE EXCAVACIÓN POR MEDIOS MANUALES. INCLUYE; MANO DE OBRA Y HERRAMIENTA.</t>
  </si>
  <si>
    <t>02-004</t>
  </si>
  <si>
    <t xml:space="preserve">      PLANTILLA DE CONCRETO F´c=100 kg/cm2 HECHO EN OBRA DE 5 cm DE ESPESOR. INCLUYE; MATERIAL, MANO DE OBRA Y HERRAMIENTA.</t>
  </si>
  <si>
    <t>02-005</t>
  </si>
  <si>
    <t xml:space="preserve">      ZAPATA AISLADA DE 1.00 X 1.00, ESPESOR DE 15 cm EN EL PERIMETRO Y 20 cm AL CENTRO, CONCRETO F´c= 200 kg/cm2, ARMADA CON UNA PARRILLA SENCILLA DE VAR #3 EN DOS DIRECCIONES @ 20 cm. INCLUYE; MATERIAL, CIMBRA Y DESCIMBRA, COLADO, VIBRADO Y CURADO.</t>
  </si>
  <si>
    <t>pza</t>
  </si>
  <si>
    <t>02-006</t>
  </si>
  <si>
    <t xml:space="preserve">      ZAPATA AISLADA DE 1.20 X 1.20, ESPESOR DE 15 cm EN EL PERIMETRO Y 20 cm AL CENTRO, CONCRETO F´c= 200 kg/cm2, ARMADA CON UNA PARRILLA SENCILLA DE VAR #3 EN DOS DIRECCIONES @ 20 cm. INCLUYE; MATERIAL, CIMBRA Y DESCIMBRA, COLADO, VIBRADO Y CURADO.</t>
  </si>
  <si>
    <t>02-007</t>
  </si>
  <si>
    <t xml:space="preserve">      DADO DE 0.20 X 0.20 m, CONCRETO F´c=200 kg/cm2, ARMADO CON 4 VAR # 3 Y ESTRIBOS #2 @ 20 cm. INCLUYE; MATERIALES, CIMBRA Y DESCIMBRA, COLADO, MANO DE OBRA, HERRAMIENTA Y EQUIPO.</t>
  </si>
  <si>
    <t>ml</t>
  </si>
  <si>
    <t>02-008</t>
  </si>
  <si>
    <t xml:space="preserve">      DADO DE 0.25 X 0.25 m, CONCRETO F´c=200 kg/cm2, ARMADO CON 4 VAR # 4, 2 VAR #3 Y ESTRIBOS #2 @ 20 cm. INCLUYE; MATERIALES, CIMBRA Y DESCIMBRA, COLADO, MANO DE OBRA, HERRAMIENTA Y EQUIPO.</t>
  </si>
  <si>
    <t>02-009</t>
  </si>
  <si>
    <t xml:space="preserve">      SUMINISTRO Y COLOCACIÓN DE IMPERMEABILIZANTE PARA ESTRUCTURAS ENTERRADAS BASE ASFALTO EN ZAPATAS Y DADOS. INCLUYE: MATERIAL, MANO DE OBRA Y HERRAMIENTA.</t>
  </si>
  <si>
    <t>02-010</t>
  </si>
  <si>
    <t xml:space="preserve">      SUMINISTRO Y COLOCACIÓN DE IMPERMEABILIZANTE PARA BLOCK ENTERRADO. INCLUYE: MATERIAL, MANO DE OBRA Y HERRAMIENTA.</t>
  </si>
  <si>
    <t>02-011</t>
  </si>
  <si>
    <t xml:space="preserve">      TRABE DE LIGA DE 0.30x0.15 m DE CONCRETO F´c=200 kg/cm2 ARMADA CON 4 VAR #5 Y ESTRIBOS #3 @ 20 cm. INCLUYE; MATERIAL, MANO DE OBRA, HERRAMIENTA Y EQUIPO.</t>
  </si>
  <si>
    <t>02-012</t>
  </si>
  <si>
    <t xml:space="preserve">      MURO DE BLOCK PARA CIMENTACION. INCLUYE; MATERIAL, MANO DE OBRA, HERRAMIENTA Y EQUIPO.</t>
  </si>
  <si>
    <t>02-013</t>
  </si>
  <si>
    <t xml:space="preserve">      DALA DE CERRAMIENTO 16 X 22 cm PARA CONFINAR CIMENTACION, REFORZADO CON 4 VAR #3 Y ESTRIBOS #2 @ 20 cm. INCLUYE; MATERIALES, CIMBRA, MANO DE OBRA, HERRAMIENTA Y EQUIUPO.</t>
  </si>
  <si>
    <t>02-014</t>
  </si>
  <si>
    <t xml:space="preserve">      RELLENO Y COMPACTACIÓN CON MATERIAL PRODUCTO DE EXCAVACIÓN EN TRABES DE LIGA. INCLUYE; MANO DE OBRA, HERRAMIENTA Y EQUIPO.</t>
  </si>
  <si>
    <t>02-015</t>
  </si>
  <si>
    <t xml:space="preserve">      CARGA Y RETIRO DE MATERIAL SOBRANTE DE LOS RELLENOS. INCLUYE; RETROEXCAVADORA, CAMION Y OPERADORES.</t>
  </si>
  <si>
    <t>#03-000</t>
  </si>
  <si>
    <t xml:space="preserve">   MUROS, DALAS Y CASTILLOS PLANTA BAJA</t>
  </si>
  <si>
    <t>03-002</t>
  </si>
  <si>
    <t xml:space="preserve">      CASTILLO 15*15 cm ACABADO APARENTE, REFORZADO CON 4 VAR #3 Y ESTRIBOS #2 @ 20 cm. INCLUYE: MATERIAL, CIMBRA, MANO DE OBRA, HERRAMIENTA Y EQUIPO.</t>
  </si>
  <si>
    <t>03-003</t>
  </si>
  <si>
    <t xml:space="preserve">      COLUMNA DE 20 X 50 cm ACABADO APARENTE DE CONCRETO F´c=200 kg/cm2 REFORZADA CON 8 VAR 1/2". INCLUYE; MATERIALES, CIMBRA, MANO DE OBRA, HERRAMIENTA Y EQUIPO.</t>
  </si>
  <si>
    <t>03-004</t>
  </si>
  <si>
    <t xml:space="preserve">      DALA DE CERRAMIENTO 16 X 22 cm ACABADO APARENTE, REFORZADO CON 4 VAR #3 Y ESTRIBOS #2 @ 20 cm. INCLUYE; MATERIALES, CIMBRA, MANO DE OBRA, HERRAMIENTA Y EQUIUPO.</t>
  </si>
  <si>
    <t>03-005</t>
  </si>
  <si>
    <t xml:space="preserve">VIGA TIPO V1</t>
  </si>
  <si>
    <t>03-006</t>
  </si>
  <si>
    <t xml:space="preserve">VIGA TIPO V2</t>
  </si>
  <si>
    <t>#04-000</t>
  </si>
  <si>
    <t xml:space="preserve">   LOSA , FIRME Y BANQUETAS.</t>
  </si>
  <si>
    <t>04-001</t>
  </si>
  <si>
    <t xml:space="preserve">      LOSA DE VIGUETA Y DOVELA DE 25 cm DE ESPESOR. INCLUYE; MATERIAL, CIMBRA, MANO DE OBRA, CURADOR, HERRAMIENTA Y EQUIPO.</t>
  </si>
  <si>
    <t>04-002</t>
  </si>
  <si>
    <t xml:space="preserve">      PRETIL DE 1.00 M DE ALTURA EN LOSA DE AZOTEA A BASE DE LARILLO APARENTE. INCLUYE; MATERIALES, MANO DE OBRA Y HERRAMIENTA. PRIMER NIVEL</t>
  </si>
  <si>
    <t>04-003</t>
  </si>
  <si>
    <t xml:space="preserve">      AFINE POR MEDIOS MANUALES PARA RECIBIR PENDIENTES. INCLUYE; MANO DE OBRA Y HERRAMIENTA.</t>
  </si>
  <si>
    <t>04-004</t>
  </si>
  <si>
    <t xml:space="preserve">    GOTERO PARA VOLADO</t>
  </si>
  <si>
    <t>#05-000</t>
  </si>
  <si>
    <t xml:space="preserve">   ACABADOS PLANTA BAJA</t>
  </si>
  <si>
    <t>05-002</t>
  </si>
  <si>
    <t xml:space="preserve">      APLANADO PARA ACABADO FINO EN INTERIORES A BASE DE YESO DE 2 CM DE ESPESOR EN PLAFONES</t>
  </si>
  <si>
    <t>05-003</t>
  </si>
  <si>
    <t xml:space="preserve">      ENTORTADO DE HASTA 2.5 cm ACABADO PLANEADO PARA RECIBIR PISO CERAMICO, A BASE DE MORTERO ARENA-CEMENTO 1:3. INCLUYE; MATERIAL, MANO DE OBRA Y HERRAMIENTA.</t>
  </si>
  <si>
    <t>05-004</t>
  </si>
  <si>
    <t xml:space="preserve">      COLOCACIÓN DE PISO DE PORCELANATO, ASENTADO CON ADHESIVO PARA PISO Y EMBOQUILLADO, INCLUYE: MANO DE OBRA, RECORTES Y LIMPIEZA</t>
  </si>
  <si>
    <t>05-005</t>
  </si>
  <si>
    <t xml:space="preserve">       ZOCLO DE PORCELANATO DE 7.5X60 CM., MARCA INTERCERAMIC ASENTADO CON ADHESIVO PARA PISO Y EMBOQUILLADOR DE COLOR, INCLUYE RECORTES.</t>
  </si>
  <si>
    <t>05-006</t>
  </si>
  <si>
    <t xml:space="preserve">       PINTURA VINILICA EN MUROS Y PLAFONES MARCA BEREL O SIMILAR EN COLOR BLANCO, INCLUYE: PREPARACION DE LA SUPERFICIE, DOS MANOS DE PINTURA</t>
  </si>
  <si>
    <t>05-007</t>
  </si>
  <si>
    <t xml:space="preserve">      IMPERMEABILIZACION DE LOSA A BASE DE ELASTOMERICO BLANCO, INCLUYE: LIMPIEZA, SELLADO DE GRIETAS, PRIMER, UNA CAPA IMPERMEABILIZANTE, UNA MALLA DE REFUERZO Y UNA SEGUNDA CAPA DE IMPERMEABILIZANTE</t>
  </si>
  <si>
    <t>#06-000</t>
  </si>
  <si>
    <t xml:space="preserve">   INSTALACIONES ELECTRICAS PLANTA BAJA</t>
  </si>
  <si>
    <t>06-001</t>
  </si>
  <si>
    <t xml:space="preserve">      SALIDA ELÉCTRICA DE CENTRO A CENTRO DE LUMINARIA, CON 4 CABLES THW 12 CONDUMEX O SIMILAR, INCLUYE: POLIDUCTO 3/4" Ø, CAJA 4X4", TAPA, CHALUPA, APAGADOR, CONEXIONES, HERRAMIENTA, MANO DE OBRA Y TODO LO NECESARIO PARA SU CORRECTA INSTALACIÓN.</t>
  </si>
  <si>
    <t>salida</t>
  </si>
  <si>
    <t>06-002</t>
  </si>
  <si>
    <t xml:space="preserve">      SALIDA PARA CONTACTO DOBLE POLARIZADO 110 VOLTS, INCLUYE: MATERIAL, MANO DE OBRA Y HERRAMIENTA.</t>
  </si>
  <si>
    <t>#07-000</t>
  </si>
  <si>
    <t xml:space="preserve">   INSTALACIONES PLUVIALES PLANTA BAJA</t>
  </si>
  <si>
    <t>07-001</t>
  </si>
  <si>
    <t xml:space="preserve">      SUMINISTRO Y COLOCACIÓN DE TUBO DE P.V.C.S. Ø 4", INCLUYE: EXCAVACIÓN Y RELLENO.</t>
  </si>
  <si>
    <t>#08-000</t>
  </si>
  <si>
    <t xml:space="preserve">   INSTALACIONES HIDROSANITARIAS PLANTA BAJA</t>
  </si>
  <si>
    <t>08-001</t>
  </si>
  <si>
    <t xml:space="preserve">      RAMALEO HIDRAULICO AGUA FRIA PARA MUEBLES, CON TUBERÍA DE C-PVC, INCLUYE: ALIMENTACIÓN, RANURAS, RESANES, MATERIAL, MANO DE OBRA, HERRAMIENTA, EQUIPO Y TODO LO NECESARIO PARA SU CORRECTA EJECUCIÓN.</t>
  </si>
  <si>
    <t>08-002</t>
  </si>
  <si>
    <t xml:space="preserve">      RAMALEO HIDRAULICO AGUA CALIENTE PARA MUEBLES, CON TUBERÍA DE C-PVC, INCLUYE: ALIMENTACIÓN, RANURAS, RESANES, MATERIAL, MANO DE OBRA, HERRAMIENTA, EQUIPO Y TODO LO NECESARIO PARA SU CORRECTA EJECUCIÓN.</t>
  </si>
  <si>
    <t>08-003</t>
  </si>
  <si>
    <t xml:space="preserve">      DESCARGA DE MUEBLE SANITARIO CON TUBERIA P.V.C. DE 4", INCLUYE: MATERIAL MANO DE OBRA, HERRAMIENTA, EQUIPO Y TODO LO NECESARIO PARA SU CORRECTA EJECUCIÓN.</t>
  </si>
  <si>
    <t>08-004</t>
  </si>
  <si>
    <t xml:space="preserve">      DESCARGA DE MUEBLE SANITARIO CON TUBERÍA DE PVC SANITARIO DE Ø 2", INCLUYE:  MATERIAL MANO DE OBRA, HERRAMIENTA, EQUIPO Y TODO LO NECESARIO PARA SU CORRECTA EJECUCIÓN.</t>
  </si>
  <si>
    <t>08-005</t>
  </si>
  <si>
    <t xml:space="preserve">      SUMINISTRO Y COLOCACIÓN DE TUBO DE P.V.C.S. Ø 2", INCLUYE: EXCAVACIÓN Y RELLENO.</t>
  </si>
  <si>
    <t>08-006</t>
  </si>
  <si>
    <t>08-007</t>
  </si>
  <si>
    <t xml:space="preserve">      TUBO VENTILA DE PVC DE  2", INCLUYE:  MATERIAL MANO DE OBRA, HERRAMIENTA, EQUIPO Y TODO LO NECESARIO PARA SU CORRECTA EJECUCIÓN.</t>
  </si>
  <si>
    <t>08-008</t>
  </si>
  <si>
    <t xml:space="preserve">      SUMINISTRO Y COLOCACIÓN DE COLADERA DE 4pg. INCLUYE; MATERIALES, MANO DE OBRA Y HERRAMIENTA.</t>
  </si>
  <si>
    <t>08-009</t>
  </si>
  <si>
    <t xml:space="preserve">      SUMINISTRO Y COLOCACION DE WC BLANCO O SIMILAR CON TANQUE BAJO, INCLUYE : LLAVE DE CONTROL, MANGUERA ALIMENTADORA, TAPA PARA ASIENTO Y SELLO DE CERA.</t>
  </si>
  <si>
    <t>08-010</t>
  </si>
  <si>
    <t xml:space="preserve">      SUMINISTRO Y COLOCACIÓN DE LAVABO DE PEDESTAL, INCLUYE: CESPOL CROMADO, MANO DE OBRA, HERRAMIENTA, EQUIPO Y TODO LO NECESARIO PARA SU CORRECTA EJECUCIÓN.</t>
  </si>
  <si>
    <t>#09-000</t>
  </si>
  <si>
    <t xml:space="preserve">   LIMPIEZA</t>
  </si>
  <si>
    <t>09-001</t>
  </si>
  <si>
    <t xml:space="preserve">      LIMPIEZA GENERAL DE LA OBRA. INCLUYE: LIMPIEZA FINA, CARGA Y RETIROS DE ESCOMBRO, MANO DE OBRA Y HERRAMIENTA.</t>
  </si>
  <si>
    <t>TOTAL=</t>
  </si>
  <si>
    <t xml:space="preserve">*Estos precios se sotienen por un lapso de 15 dias debido a la variabilidad del costo de los materiales.</t>
  </si>
  <si>
    <t>IND+UTILIDAD</t>
  </si>
  <si>
    <t xml:space="preserve">* Se requiere un anticipo del 30% y el resto mediante estimaciones semanales.</t>
  </si>
  <si>
    <t xml:space="preserve">* Se garantiza tanto materiales como mano de obra, en caso de existir algun detalle se reparara de manera puntual.</t>
  </si>
  <si>
    <t xml:space="preserve">* El tiempo de ejecucion es de 20 semanas.</t>
  </si>
  <si>
    <t xml:space="preserve">      APLANADO PARA EXTERIORES Y ZONAS HUMEDAS CON MORTERO CEMENTO-ARENA 1:3 DE 2 cm DE ESPESOR. INCLUYE; MATERIAL, MANO DE OBRA, ANDAMIOS Y HERRAMIENTA.</t>
  </si>
  <si>
    <t xml:space="preserve">      APLANADO PARA ACABADO FINO EN INTERIORES A BASE DE YESO DE 2 CM DE ESPESOR EN MUROS. INCLUYE; MATERIAL, MANO DE OBRA, ANDAMIOS Y HERRAMIENTA.</t>
  </si>
  <si>
    <t xml:space="preserve">      APLANADO PARA ACABADO FINO EN INTERIORES A BASE DE YESO DE 2 CM DE ESPESOR EN PLAFON. INCLUYE; MATERIAL, MANO DE OBRA, ANDAMIOS Y HERRAMIENTA.</t>
  </si>
  <si>
    <t xml:space="preserve">   ACABADOS PRIMER NIVEL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</si>
</sst>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_(\$* #,##0.00_);_(\$* \(#,##0.00\);_(\$* \-??_);_(@_)"/>
    <numFmt numFmtId="165" formatCode="_-\$* #,##0.00_-;&quot;-$&quot;* #,##0.00_-;_-\$* \-??_-;_-@_-"/>
    <numFmt numFmtId="166" formatCode="0.000%"/>
  </numFmts>
  <fonts count="10">
    <font>
      <sz val="11.000000"/>
      <color theme="1"/>
      <name val="Calibri"/>
    </font>
    <font>
      <sz val="10.000000"/>
      <name val="Arial"/>
    </font>
    <font>
      <sz val="12.000000"/>
      <color theme="1"/>
      <name val="Calibri"/>
    </font>
    <font>
      <b/>
      <sz val="12.000000"/>
      <color theme="1"/>
      <name val="Calibri"/>
    </font>
    <font>
      <sz val="11.000000"/>
      <color theme="1"/>
      <name val="Calibri"/>
      <scheme val="minor"/>
    </font>
    <font>
      <b/>
      <sz val="11.000000"/>
      <color theme="1"/>
      <name val="Calibri"/>
    </font>
    <font>
      <b/>
      <sz val="9.000000"/>
      <color theme="1"/>
      <name val="Calibri"/>
    </font>
    <font>
      <b/>
      <sz val="8.000000"/>
      <color theme="1"/>
      <name val="Calibri"/>
    </font>
    <font>
      <sz val="8.000000"/>
      <color theme="1"/>
      <name val="Calibri"/>
    </font>
    <font>
      <sz val="9.000000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7" tint="0.79990000000000006"/>
        <bgColor rgb="FFE2F0D9"/>
      </patternFill>
    </fill>
    <fill>
      <patternFill patternType="solid">
        <fgColor theme="9" tint="0.79990000000000006"/>
        <bgColor rgb="FFFFF2CC"/>
      </patternFill>
    </fill>
    <fill>
      <patternFill patternType="solid">
        <fgColor theme="9" tint="0.39989999999999998"/>
        <bgColor indexed="44"/>
      </patternFill>
    </fill>
    <fill>
      <patternFill patternType="solid">
        <fgColor theme="0"/>
        <bgColor rgb="FFFFF2CC"/>
      </patternFill>
    </fill>
  </fills>
  <borders count="41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theme="1"/>
      </right>
      <top style="medium">
        <color auto="1"/>
      </top>
      <bottom style="thin">
        <color theme="1"/>
      </bottom>
      <diagonal style="none"/>
    </border>
    <border>
      <left style="thin">
        <color theme="1"/>
      </left>
      <right style="none"/>
      <top style="medium">
        <color auto="1"/>
      </top>
      <bottom style="thin">
        <color theme="1"/>
      </bottom>
      <diagonal style="none"/>
    </border>
    <border>
      <left style="none"/>
      <right style="none"/>
      <top style="medium">
        <color auto="1"/>
      </top>
      <bottom style="thin">
        <color theme="1"/>
      </bottom>
      <diagonal style="none"/>
    </border>
    <border>
      <left style="none"/>
      <right style="thin">
        <color theme="1"/>
      </right>
      <top style="medium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auto="1"/>
      </top>
      <bottom style="thin">
        <color theme="1"/>
      </bottom>
      <diagonal style="none"/>
    </border>
    <border>
      <left style="thin">
        <color theme="1"/>
      </left>
      <right style="medium">
        <color auto="1"/>
      </right>
      <top style="medium">
        <color auto="1"/>
      </top>
      <bottom style="thin">
        <color theme="1"/>
      </bottom>
      <diagonal style="none"/>
    </border>
    <border>
      <left style="medium">
        <color auto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auto="1"/>
      </right>
      <top style="thin">
        <color theme="1"/>
      </top>
      <bottom style="thin">
        <color theme="1"/>
      </bottom>
      <diagonal style="none"/>
    </border>
    <border>
      <left style="medium">
        <color auto="1"/>
      </left>
      <right style="thin">
        <color theme="1"/>
      </right>
      <top style="thin">
        <color theme="1"/>
      </top>
      <bottom style="medium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medium">
        <color auto="1"/>
      </bottom>
      <diagonal style="none"/>
    </border>
    <border>
      <left style="none"/>
      <right style="none"/>
      <top style="thin">
        <color theme="1"/>
      </top>
      <bottom style="medium">
        <color auto="1"/>
      </bottom>
      <diagonal style="none"/>
    </border>
    <border>
      <left style="none"/>
      <right style="thin">
        <color theme="1"/>
      </right>
      <top style="thin">
        <color theme="1"/>
      </top>
      <bottom style="medium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medium">
        <color auto="1"/>
      </bottom>
      <diagonal style="none"/>
    </border>
    <border>
      <left style="thin">
        <color theme="1"/>
      </left>
      <right style="medium">
        <color auto="1"/>
      </right>
      <top style="thin">
        <color theme="1"/>
      </top>
      <bottom style="medium">
        <color auto="1"/>
      </bottom>
      <diagonal style="none"/>
    </border>
    <border>
      <left style="medium">
        <color auto="1"/>
      </left>
      <right style="thin">
        <color theme="1"/>
      </right>
      <top style="medium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thin">
        <color theme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medium">
        <color auto="1"/>
      </right>
      <top style="thin">
        <color theme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thin">
        <color theme="1"/>
      </top>
      <bottom style="thin">
        <color theme="1"/>
      </bottom>
      <diagonal style="none"/>
    </border>
    <border>
      <left style="none"/>
      <right style="medium">
        <color auto="1"/>
      </right>
      <top style="thin">
        <color theme="1"/>
      </top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</borders>
  <cellStyleXfs count="8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  <xf fontId="0" fillId="0" borderId="0" numFmtId="164" applyNumberFormat="1" applyFont="1" applyFill="1" applyBorder="1" applyProtection="1">
      <protection hidden="0" locked="1"/>
    </xf>
    <xf fontId="0" fillId="0" borderId="0" numFmtId="9" applyNumberFormat="1" applyFont="1" applyFill="1" applyBorder="1" applyProtection="1">
      <protection hidden="0" locked="1"/>
    </xf>
  </cellStyleXfs>
  <cellXfs count="166">
    <xf fontId="0" fillId="0" borderId="0" numFmtId="0" xfId="0" applyProtection="0">
      <protection hidden="0" locked="1"/>
    </xf>
    <xf fontId="2" fillId="0" borderId="0" numFmtId="0" xfId="0" applyFont="1" applyProtection="0">
      <protection hidden="0" locked="1"/>
    </xf>
    <xf fontId="2" fillId="0" borderId="0" numFmtId="0" xfId="0" applyFont="1" applyAlignment="1" applyProtection="0">
      <alignment horizontal="center"/>
      <protection hidden="0" locked="1"/>
    </xf>
    <xf fontId="2" fillId="0" borderId="0" numFmtId="0" xfId="0" applyFont="1" applyAlignment="1" applyProtection="0">
      <alignment horizontal="center" vertical="center"/>
      <protection hidden="0" locked="1"/>
    </xf>
    <xf fontId="3" fillId="0" borderId="1" numFmtId="0" xfId="0" applyFont="1" applyBorder="1" applyAlignment="1" applyProtection="0">
      <alignment horizontal="center" wrapText="1"/>
      <protection hidden="0" locked="1"/>
    </xf>
    <xf fontId="3" fillId="0" borderId="2" numFmtId="0" xfId="0" applyFont="1" applyBorder="1" applyAlignment="1" applyProtection="0">
      <alignment horizontal="center"/>
      <protection hidden="0" locked="1"/>
    </xf>
    <xf fontId="3" fillId="0" borderId="3" numFmtId="0" xfId="0" applyFont="1" applyBorder="1" applyAlignment="1" applyProtection="0">
      <alignment horizontal="center"/>
      <protection hidden="0" locked="1"/>
    </xf>
    <xf fontId="3" fillId="0" borderId="4" numFmtId="0" xfId="0" applyFont="1" applyBorder="1" applyAlignment="1" applyProtection="0">
      <alignment horizontal="center"/>
      <protection hidden="0" locked="1"/>
    </xf>
    <xf fontId="3" fillId="0" borderId="5" numFmtId="2" xfId="0" applyNumberFormat="1" applyFont="1" applyBorder="1" applyProtection="0">
      <protection hidden="0" locked="1"/>
    </xf>
    <xf fontId="3" fillId="0" borderId="6" numFmtId="2" xfId="0" applyNumberFormat="1" applyFont="1" applyBorder="1" applyAlignment="1" applyProtection="0">
      <alignment horizontal="center" vertical="center"/>
      <protection hidden="0" locked="1"/>
    </xf>
    <xf fontId="3" fillId="0" borderId="7" numFmtId="0" xfId="0" applyFont="1" applyBorder="1" applyAlignment="1" applyProtection="0">
      <alignment horizontal="center" wrapText="1"/>
      <protection hidden="0" locked="1"/>
    </xf>
    <xf fontId="3" fillId="0" borderId="8" numFmtId="0" xfId="0" applyFont="1" applyBorder="1" applyAlignment="1" applyProtection="0">
      <alignment horizontal="center"/>
      <protection hidden="0" locked="1"/>
    </xf>
    <xf fontId="3" fillId="0" borderId="9" numFmtId="0" xfId="0" applyFont="1" applyBorder="1" applyAlignment="1" applyProtection="0">
      <alignment horizontal="center"/>
      <protection hidden="0" locked="1"/>
    </xf>
    <xf fontId="3" fillId="0" borderId="10" numFmtId="0" xfId="0" applyFont="1" applyBorder="1" applyAlignment="1" applyProtection="0">
      <alignment horizontal="center"/>
      <protection hidden="0" locked="1"/>
    </xf>
    <xf fontId="3" fillId="0" borderId="11" numFmtId="0" xfId="0" applyFont="1" applyBorder="1" applyAlignment="1" applyProtection="0">
      <alignment vertical="top"/>
      <protection hidden="0" locked="1"/>
    </xf>
    <xf fontId="3" fillId="0" borderId="12" numFmtId="0" xfId="0" applyFont="1" applyBorder="1" applyAlignment="1" applyProtection="0">
      <alignment horizontal="center" vertical="center"/>
      <protection hidden="0" locked="1"/>
    </xf>
    <xf fontId="3" fillId="0" borderId="13" numFmtId="0" xfId="0" applyFont="1" applyBorder="1" applyAlignment="1" applyProtection="0">
      <alignment horizontal="center" vertical="center" wrapText="1"/>
      <protection hidden="0" locked="1"/>
    </xf>
    <xf fontId="3" fillId="0" borderId="14" numFmtId="0" xfId="0" applyFont="1" applyBorder="1" applyAlignment="1" applyProtection="0">
      <alignment horizontal="center" vertical="center" wrapText="1"/>
      <protection hidden="0" locked="1"/>
    </xf>
    <xf fontId="3" fillId="0" borderId="15" numFmtId="0" xfId="0" applyFont="1" applyBorder="1" applyAlignment="1" applyProtection="0">
      <alignment horizontal="center" vertical="center" wrapText="1"/>
      <protection hidden="0" locked="1"/>
    </xf>
    <xf fontId="3" fillId="0" borderId="16" numFmtId="0" xfId="0" applyFont="1" applyBorder="1" applyAlignment="1" applyProtection="0">
      <alignment horizontal="center" vertical="center" wrapText="1"/>
      <protection hidden="0" locked="1"/>
    </xf>
    <xf fontId="3" fillId="0" borderId="17" numFmtId="2" xfId="0" applyNumberFormat="1" applyFont="1" applyBorder="1" applyAlignment="1" applyProtection="0">
      <alignment horizontal="right" vertical="center"/>
      <protection hidden="0" locked="1"/>
    </xf>
    <xf fontId="3" fillId="0" borderId="18" numFmtId="0" xfId="0" applyFont="1" applyBorder="1" applyAlignment="1" applyProtection="0">
      <alignment horizontal="center" vertical="center"/>
      <protection hidden="0" locked="1"/>
    </xf>
    <xf fontId="2" fillId="0" borderId="19" numFmtId="0" xfId="0" applyFont="1" applyBorder="1" applyAlignment="1" applyProtection="0">
      <alignment horizontal="center" vertical="center" wrapText="1"/>
      <protection hidden="0" locked="1"/>
    </xf>
    <xf fontId="2" fillId="0" borderId="20" numFmtId="49" xfId="0" applyNumberFormat="1" applyFont="1" applyBorder="1" applyAlignment="1" applyProtection="0">
      <alignment horizontal="center" vertical="center" wrapText="1"/>
      <protection hidden="0" locked="1"/>
    </xf>
    <xf fontId="2" fillId="0" borderId="21" numFmtId="0" xfId="0" applyFont="1" applyBorder="1" applyAlignment="1" applyProtection="0">
      <alignment horizontal="center" vertical="center" wrapText="1"/>
      <protection hidden="0" locked="1"/>
    </xf>
    <xf fontId="2" fillId="0" borderId="5" numFmtId="2" xfId="0" applyNumberFormat="1" applyFont="1" applyBorder="1" applyAlignment="1" applyProtection="0">
      <alignment horizontal="center" vertical="center" wrapText="1"/>
      <protection hidden="0" locked="1"/>
    </xf>
    <xf fontId="2" fillId="0" borderId="22" numFmtId="0" xfId="0" applyFont="1" applyBorder="1" applyAlignment="1" applyProtection="0">
      <alignment horizontal="center" vertical="center" wrapText="1"/>
      <protection hidden="0" locked="1"/>
    </xf>
    <xf fontId="2" fillId="0" borderId="23" numFmtId="0" xfId="0" applyFont="1" applyBorder="1" applyAlignment="1" applyProtection="0">
      <alignment horizontal="center" vertical="center"/>
      <protection hidden="0" locked="1"/>
    </xf>
    <xf fontId="4" fillId="0" borderId="24" numFmtId="49" xfId="0" applyNumberFormat="1" applyFont="1" applyBorder="1" applyAlignment="1" applyProtection="0">
      <alignment horizontal="center" vertical="center"/>
    </xf>
    <xf fontId="4" fillId="0" borderId="24" numFmtId="0" xfId="0" applyFont="1" applyBorder="1" applyAlignment="1" applyProtection="0">
      <alignment horizontal="center" vertical="center" wrapText="1"/>
    </xf>
    <xf fontId="2" fillId="0" borderId="16" numFmtId="0" xfId="0" applyFont="1" applyBorder="1" applyAlignment="1" applyProtection="0">
      <alignment horizontal="center" vertical="center" wrapText="1"/>
      <protection hidden="0" locked="1"/>
    </xf>
    <xf fontId="2" fillId="0" borderId="17" numFmtId="0" xfId="0" applyFont="1" applyBorder="1" applyAlignment="1" applyProtection="0">
      <alignment horizontal="center" vertical="center" wrapText="1"/>
      <protection hidden="0" locked="1"/>
    </xf>
    <xf fontId="2" fillId="0" borderId="17" numFmtId="2" xfId="0" applyNumberFormat="1" applyFont="1" applyBorder="1" applyAlignment="1" applyProtection="0">
      <alignment horizontal="center" vertical="center"/>
      <protection hidden="0" locked="1"/>
    </xf>
    <xf fontId="2" fillId="0" borderId="18" numFmtId="0" xfId="0" applyFont="1" applyBorder="1" applyAlignment="1" applyProtection="0">
      <alignment horizontal="center" vertical="center"/>
      <protection hidden="0" locked="1"/>
    </xf>
    <xf fontId="3" fillId="0" borderId="25" numFmtId="0" xfId="0" applyFont="1" applyBorder="1" applyAlignment="1" applyProtection="0">
      <alignment horizontal="center" vertical="center" wrapText="1"/>
      <protection hidden="0" locked="1"/>
    </xf>
    <xf fontId="3" fillId="0" borderId="26" numFmtId="0" xfId="0" applyFont="1" applyBorder="1" applyAlignment="1" applyProtection="0">
      <alignment horizontal="center" vertical="center" wrapText="1"/>
      <protection hidden="0" locked="1"/>
    </xf>
    <xf fontId="3" fillId="0" borderId="27" numFmtId="0" xfId="0" applyFont="1" applyBorder="1" applyAlignment="1" applyProtection="0">
      <alignment horizontal="center" vertical="center" wrapText="1"/>
      <protection hidden="0" locked="1"/>
    </xf>
    <xf fontId="3" fillId="0" borderId="28" numFmtId="0" xfId="0" applyFont="1" applyBorder="1" applyAlignment="1" applyProtection="0">
      <alignment horizontal="center" vertical="center" wrapText="1"/>
      <protection hidden="0" locked="1"/>
    </xf>
    <xf fontId="3" fillId="0" borderId="29" numFmtId="2" xfId="0" applyNumberFormat="1" applyFont="1" applyBorder="1" applyAlignment="1" applyProtection="0">
      <alignment horizontal="right" vertical="center"/>
      <protection hidden="0" locked="1"/>
    </xf>
    <xf fontId="3" fillId="0" borderId="30" numFmtId="2" xfId="0" applyNumberFormat="1" applyFont="1" applyBorder="1" applyAlignment="1" applyProtection="0">
      <alignment horizontal="center" vertical="center"/>
      <protection hidden="0" locked="1"/>
    </xf>
    <xf fontId="4" fillId="0" borderId="31" numFmtId="0" xfId="0" applyFont="1" applyBorder="1" applyAlignment="1" applyProtection="0">
      <alignment horizontal="center" vertical="center"/>
    </xf>
    <xf fontId="4" fillId="0" borderId="32" numFmtId="49" xfId="0" applyNumberFormat="1" applyFont="1" applyBorder="1" applyAlignment="1" applyProtection="0">
      <alignment horizontal="center" vertical="center" wrapText="1"/>
    </xf>
    <xf fontId="4" fillId="0" borderId="32" numFmtId="0" xfId="0" applyFont="1" applyBorder="1" applyAlignment="1" applyProtection="0">
      <alignment horizontal="center" vertical="center" wrapText="1"/>
    </xf>
    <xf fontId="4" fillId="2" borderId="32" numFmtId="0" xfId="0" applyFont="1" applyFill="1" applyBorder="1" applyAlignment="1" applyProtection="0">
      <alignment horizontal="center" vertical="center" wrapText="1"/>
    </xf>
    <xf fontId="4" fillId="0" borderId="32" numFmtId="2" xfId="0" applyNumberFormat="1" applyFont="1" applyBorder="1" applyAlignment="1" applyProtection="0">
      <alignment horizontal="center" vertical="center" wrapText="1"/>
    </xf>
    <xf fontId="4" fillId="0" borderId="33" numFmtId="2" xfId="0" applyNumberFormat="1" applyFont="1" applyBorder="1" applyAlignment="1" applyProtection="0">
      <alignment horizontal="center" vertical="center"/>
    </xf>
    <xf fontId="4" fillId="0" borderId="34" numFmtId="0" xfId="0" applyFont="1" applyBorder="1" applyAlignment="1" applyProtection="0">
      <alignment horizontal="center" vertical="center"/>
    </xf>
    <xf fontId="4" fillId="0" borderId="24" numFmtId="49" xfId="0" applyNumberFormat="1" applyFont="1" applyBorder="1" applyAlignment="1" applyProtection="0">
      <alignment horizontal="center" vertical="center" wrapText="1"/>
    </xf>
    <xf fontId="4" fillId="2" borderId="24" numFmtId="0" xfId="0" applyFont="1" applyFill="1" applyBorder="1" applyAlignment="1" applyProtection="0">
      <alignment horizontal="center" vertical="center" wrapText="1"/>
    </xf>
    <xf fontId="4" fillId="0" borderId="24" numFmtId="2" xfId="0" applyNumberFormat="1" applyFont="1" applyBorder="1" applyAlignment="1" applyProtection="0">
      <alignment horizontal="center" vertical="center" wrapText="1"/>
    </xf>
    <xf fontId="4" fillId="0" borderId="35" numFmtId="2" xfId="0" applyNumberFormat="1" applyFont="1" applyBorder="1" applyAlignment="1" applyProtection="0">
      <alignment horizontal="center" vertical="center"/>
    </xf>
    <xf fontId="2" fillId="0" borderId="0" numFmtId="49" xfId="0" applyNumberFormat="1" applyFont="1" applyAlignment="1" applyProtection="0">
      <alignment horizontal="center" vertical="center"/>
      <protection hidden="0" locked="1"/>
    </xf>
    <xf fontId="2" fillId="0" borderId="0" numFmtId="0" xfId="0" applyFont="1" applyAlignment="1" applyProtection="0">
      <alignment horizontal="center" vertical="center" wrapText="1"/>
      <protection hidden="0" locked="1"/>
    </xf>
    <xf fontId="2" fillId="0" borderId="0" numFmtId="2" xfId="0" applyNumberFormat="1" applyFont="1" applyAlignment="1" applyProtection="0">
      <alignment horizontal="center" vertical="center"/>
      <protection hidden="0" locked="1"/>
    </xf>
    <xf fontId="3" fillId="0" borderId="30" numFmtId="0" xfId="0" applyFont="1" applyBorder="1" applyAlignment="1" applyProtection="0">
      <alignment horizontal="center" vertical="center"/>
      <protection hidden="0" locked="1"/>
    </xf>
    <xf fontId="2" fillId="0" borderId="16" numFmtId="2" xfId="0" applyNumberFormat="1" applyFont="1" applyBorder="1" applyAlignment="1" applyProtection="0">
      <alignment horizontal="center" vertical="center"/>
      <protection hidden="0" locked="1"/>
    </xf>
    <xf fontId="2" fillId="0" borderId="20" numFmtId="2" xfId="0" applyNumberFormat="1" applyFont="1" applyBorder="1" applyAlignment="1" applyProtection="0">
      <alignment horizontal="center" vertical="center" wrapText="1"/>
      <protection hidden="0" locked="1"/>
    </xf>
    <xf fontId="4" fillId="0" borderId="32" numFmtId="49" xfId="0" applyNumberFormat="1" applyFont="1" applyBorder="1" applyAlignment="1" applyProtection="0">
      <alignment horizontal="center" vertical="center"/>
    </xf>
    <xf fontId="4" fillId="0" borderId="32" numFmtId="2" xfId="0" applyNumberFormat="1" applyFont="1" applyBorder="1" applyAlignment="1" applyProtection="0">
      <alignment horizontal="center" vertical="center"/>
    </xf>
    <xf fontId="2" fillId="0" borderId="36" numFmtId="0" xfId="0" applyFont="1" applyBorder="1" applyAlignment="1" applyProtection="0">
      <alignment horizontal="center" vertical="center"/>
      <protection hidden="0" locked="1"/>
    </xf>
    <xf fontId="4" fillId="0" borderId="24" numFmtId="2" xfId="0" applyNumberFormat="1" applyFont="1" applyBorder="1" applyAlignment="1" applyProtection="0">
      <alignment horizontal="center" vertical="center"/>
    </xf>
    <xf fontId="2" fillId="0" borderId="37" numFmtId="0" xfId="0" applyFont="1" applyBorder="1" applyAlignment="1" applyProtection="0">
      <alignment horizontal="center" vertical="center"/>
      <protection hidden="0" locked="1"/>
    </xf>
    <xf fontId="2" fillId="0" borderId="38" numFmtId="0" xfId="0" applyFont="1" applyBorder="1" applyAlignment="1" applyProtection="0">
      <alignment horizontal="center" vertical="center"/>
      <protection hidden="0" locked="1"/>
    </xf>
    <xf fontId="4" fillId="0" borderId="0" numFmtId="0" xfId="0" applyFont="1" applyAlignment="1" applyProtection="0">
      <alignment horizontal="center" vertical="center"/>
    </xf>
    <xf fontId="4" fillId="0" borderId="0" numFmtId="49" xfId="0" applyNumberFormat="1" applyFont="1" applyAlignment="1" applyProtection="0">
      <alignment horizontal="center" vertical="center"/>
    </xf>
    <xf fontId="4" fillId="0" borderId="0" numFmtId="0" xfId="0" applyFont="1" applyAlignment="1" applyProtection="0">
      <alignment horizontal="center" vertical="center" wrapText="1"/>
    </xf>
    <xf fontId="4" fillId="0" borderId="0" numFmtId="2" xfId="0" applyNumberFormat="1" applyFont="1" applyAlignment="1" applyProtection="0">
      <alignment horizontal="center" vertical="center"/>
    </xf>
    <xf fontId="2" fillId="0" borderId="1" numFmtId="0" xfId="0" applyFont="1" applyBorder="1" applyAlignment="1" applyProtection="0">
      <alignment horizontal="center" vertical="center" wrapText="1"/>
      <protection hidden="0" locked="1"/>
    </xf>
    <xf fontId="2" fillId="0" borderId="5" numFmtId="49" xfId="0" applyNumberFormat="1" applyFont="1" applyBorder="1" applyAlignment="1" applyProtection="0">
      <alignment horizontal="center" vertical="center" wrapText="1"/>
      <protection hidden="0" locked="1"/>
    </xf>
    <xf fontId="2" fillId="0" borderId="7" numFmtId="0" xfId="0" applyFont="1" applyBorder="1" applyAlignment="1" applyProtection="0">
      <alignment horizontal="center" vertical="center"/>
      <protection hidden="0" locked="1"/>
    </xf>
    <xf fontId="2" fillId="0" borderId="11" numFmtId="49" xfId="0" applyNumberFormat="1" applyFont="1" applyBorder="1" applyAlignment="1" applyProtection="0">
      <alignment horizontal="center" vertical="center"/>
      <protection hidden="0" locked="1"/>
    </xf>
    <xf fontId="2" fillId="0" borderId="11" numFmtId="0" xfId="0" applyFont="1" applyBorder="1" applyAlignment="1" applyProtection="0">
      <alignment horizontal="center" vertical="center" wrapText="1"/>
      <protection hidden="0" locked="1"/>
    </xf>
    <xf fontId="2" fillId="0" borderId="11" numFmtId="2" xfId="0" applyNumberFormat="1" applyFont="1" applyBorder="1" applyAlignment="1" applyProtection="0">
      <alignment horizontal="center" vertical="center"/>
      <protection hidden="0" locked="1"/>
    </xf>
    <xf fontId="2" fillId="0" borderId="12" numFmtId="0" xfId="0" applyFont="1" applyBorder="1" applyAlignment="1" applyProtection="0">
      <alignment horizontal="center" vertical="center"/>
      <protection hidden="0" locked="1"/>
    </xf>
    <xf fontId="2" fillId="0" borderId="13" numFmtId="0" xfId="0" applyFont="1" applyBorder="1" applyAlignment="1" applyProtection="0">
      <alignment horizontal="center" vertical="center"/>
      <protection hidden="0" locked="1"/>
    </xf>
    <xf fontId="2" fillId="0" borderId="17" numFmtId="49" xfId="0" applyNumberFormat="1" applyFont="1" applyBorder="1" applyAlignment="1" applyProtection="0">
      <alignment horizontal="center" vertical="center"/>
      <protection hidden="0" locked="1"/>
    </xf>
    <xf fontId="4" fillId="0" borderId="34" numFmtId="0" xfId="0" applyFont="1" applyBorder="1" applyAlignment="1" applyProtection="0">
      <alignment horizontal="center" vertical="center" wrapText="1"/>
    </xf>
    <xf fontId="2" fillId="0" borderId="10" numFmtId="0" xfId="0" applyFont="1" applyBorder="1" applyAlignment="1" applyProtection="0">
      <alignment horizontal="center" vertical="center"/>
      <protection hidden="0" locked="1"/>
    </xf>
    <xf fontId="2" fillId="0" borderId="11" numFmtId="0" xfId="0" applyFont="1" applyBorder="1" applyAlignment="1" applyProtection="0">
      <alignment horizontal="center" vertical="center"/>
      <protection hidden="0" locked="1"/>
    </xf>
    <xf fontId="2" fillId="2" borderId="11" numFmtId="2" xfId="0" applyNumberFormat="1" applyFont="1" applyFill="1" applyBorder="1" applyAlignment="1" applyProtection="0">
      <alignment horizontal="center" vertical="center"/>
      <protection hidden="0" locked="1"/>
    </xf>
    <xf fontId="2" fillId="2" borderId="0" numFmtId="0" xfId="0" applyFont="1" applyFill="1" applyProtection="0">
      <protection hidden="0" locked="1"/>
    </xf>
    <xf fontId="2" fillId="0" borderId="1" numFmtId="0" xfId="0" applyFont="1" applyBorder="1" applyAlignment="1" applyProtection="0">
      <alignment horizontal="center" vertical="center"/>
      <protection hidden="0" locked="1"/>
    </xf>
    <xf fontId="2" fillId="0" borderId="5" numFmtId="49" xfId="0" applyNumberFormat="1" applyFont="1" applyBorder="1" applyAlignment="1" applyProtection="0">
      <alignment horizontal="center" vertical="center"/>
      <protection hidden="0" locked="1"/>
    </xf>
    <xf fontId="2" fillId="0" borderId="5" numFmtId="0" xfId="0" applyFont="1" applyBorder="1" applyAlignment="1" applyProtection="0">
      <alignment horizontal="center" vertical="center" wrapText="1"/>
      <protection hidden="0" locked="1"/>
    </xf>
    <xf fontId="2" fillId="0" borderId="5" numFmtId="2" xfId="0" applyNumberFormat="1" applyFont="1" applyBorder="1" applyAlignment="1" applyProtection="0">
      <alignment horizontal="center" vertical="center"/>
      <protection hidden="0" locked="1"/>
    </xf>
    <xf fontId="2" fillId="0" borderId="6" numFmtId="0" xfId="0" applyFont="1" applyBorder="1" applyAlignment="1" applyProtection="0">
      <alignment horizontal="center" vertical="center"/>
      <protection hidden="0" locked="1"/>
    </xf>
    <xf fontId="2" fillId="0" borderId="12" numFmtId="1" xfId="0" applyNumberFormat="1" applyFont="1" applyBorder="1" applyAlignment="1" applyProtection="0">
      <alignment horizontal="center" vertical="center"/>
      <protection hidden="0" locked="1"/>
    </xf>
    <xf fontId="2" fillId="0" borderId="18" numFmtId="1" xfId="0" applyNumberFormat="1" applyFont="1" applyBorder="1" applyAlignment="1" applyProtection="0">
      <alignment horizontal="center" vertical="center"/>
      <protection hidden="0" locked="1"/>
    </xf>
    <xf fontId="3" fillId="0" borderId="11" numFmtId="0" xfId="0" applyFont="1" applyBorder="1" applyAlignment="1" applyProtection="0">
      <alignment horizontal="center" wrapText="1"/>
      <protection hidden="0" locked="1"/>
    </xf>
    <xf fontId="3" fillId="0" borderId="11" numFmtId="0" xfId="0" applyFont="1" applyBorder="1" applyProtection="0">
      <protection hidden="0" locked="1"/>
    </xf>
    <xf fontId="3" fillId="0" borderId="11" numFmtId="0" xfId="0" applyFont="1" applyBorder="1" applyAlignment="1" applyProtection="0">
      <alignment horizontal="center"/>
      <protection hidden="0" locked="1"/>
    </xf>
    <xf fontId="3" fillId="0" borderId="11" numFmtId="0" xfId="0" applyFont="1" applyBorder="1" applyAlignment="1" applyProtection="0">
      <alignment horizontal="center" vertical="center" wrapText="1"/>
      <protection hidden="0" locked="1"/>
    </xf>
    <xf fontId="3" fillId="0" borderId="11" numFmtId="0" xfId="0" applyFont="1" applyBorder="1" applyAlignment="1" applyProtection="0">
      <alignment vertical="center" wrapText="1"/>
      <protection hidden="0" locked="1"/>
    </xf>
    <xf fontId="3" fillId="0" borderId="11" numFmtId="0" xfId="0" applyFont="1" applyBorder="1" applyAlignment="1" applyProtection="0">
      <alignment horizontal="left" vertical="center" wrapText="1"/>
      <protection hidden="0" locked="1"/>
    </xf>
    <xf fontId="3" fillId="0" borderId="11" numFmtId="2" xfId="0" applyNumberFormat="1" applyFont="1" applyBorder="1" applyAlignment="1" applyProtection="0">
      <alignment horizontal="right" vertical="center"/>
      <protection hidden="0" locked="1"/>
    </xf>
    <xf fontId="3" fillId="0" borderId="11" numFmtId="49" xfId="0" applyNumberFormat="1" applyFont="1" applyBorder="1" applyAlignment="1" applyProtection="0">
      <alignment horizontal="center" vertical="center" wrapText="1"/>
      <protection hidden="0" locked="1"/>
    </xf>
    <xf fontId="3" fillId="0" borderId="11" numFmtId="2" xfId="0" applyNumberFormat="1" applyFont="1" applyBorder="1" applyAlignment="1" applyProtection="0">
      <alignment horizontal="center" vertical="center" wrapText="1"/>
      <protection hidden="0" locked="1"/>
    </xf>
    <xf fontId="2" fillId="0" borderId="0" numFmtId="1" xfId="0" applyNumberFormat="1" applyFont="1" applyAlignment="1" applyProtection="0">
      <alignment horizontal="center" vertical="center"/>
      <protection hidden="0" locked="1"/>
    </xf>
    <xf fontId="2" fillId="0" borderId="11" numFmtId="0" xfId="0" applyFont="1" applyBorder="1" applyProtection="0">
      <protection hidden="0" locked="1"/>
    </xf>
    <xf fontId="2" fillId="0" borderId="11" numFmtId="1" xfId="0" applyNumberFormat="1" applyFont="1" applyBorder="1" applyAlignment="1" applyProtection="0">
      <alignment horizontal="center" vertical="center"/>
      <protection hidden="0" locked="1"/>
    </xf>
    <xf fontId="3" fillId="0" borderId="11" numFmtId="2" xfId="0" applyNumberFormat="1" applyFont="1" applyBorder="1" applyProtection="0">
      <protection hidden="0" locked="1"/>
    </xf>
    <xf fontId="3" fillId="0" borderId="11" numFmtId="0" xfId="0" applyFont="1" applyBorder="1" applyAlignment="1" applyProtection="0">
      <alignment horizontal="center" vertical="center"/>
      <protection hidden="0" locked="1"/>
    </xf>
    <xf fontId="0" fillId="0" borderId="0" numFmtId="0" xfId="0" applyAlignment="1" applyProtection="0">
      <alignment wrapText="1"/>
      <protection hidden="0" locked="1"/>
    </xf>
    <xf fontId="0" fillId="0" borderId="0" numFmtId="0" xfId="0" applyProtection="0">
      <protection hidden="0" locked="1"/>
    </xf>
    <xf fontId="5" fillId="0" borderId="0" numFmtId="0" xfId="0" applyFont="1" applyAlignment="1" applyProtection="0">
      <alignment horizontal="center" vertical="center"/>
      <protection hidden="0" locked="1"/>
    </xf>
    <xf fontId="6" fillId="0" borderId="0" numFmtId="0" xfId="0" applyFont="1" applyAlignment="1" applyProtection="0">
      <alignment horizontal="center" vertical="center" wrapText="1"/>
      <protection hidden="0" locked="1"/>
    </xf>
    <xf fontId="7" fillId="0" borderId="0" numFmtId="0" xfId="0" applyFont="1" applyAlignment="1" applyProtection="0">
      <alignment horizontal="center" vertical="top"/>
      <protection hidden="0" locked="1"/>
    </xf>
    <xf fontId="6" fillId="0" borderId="11" numFmtId="0" xfId="0" applyFont="1" applyBorder="1" applyAlignment="1" applyProtection="0">
      <alignment horizontal="center" vertical="center" wrapText="1"/>
      <protection hidden="0" locked="1"/>
    </xf>
    <xf fontId="6" fillId="0" borderId="8" numFmtId="2" xfId="0" applyNumberFormat="1" applyFont="1" applyBorder="1" applyAlignment="1" applyProtection="0">
      <alignment horizontal="center" vertical="center" wrapText="1"/>
      <protection hidden="0" locked="1"/>
    </xf>
    <xf fontId="6" fillId="3" borderId="11" numFmtId="165" xfId="0" applyNumberFormat="1" applyFont="1" applyFill="1" applyBorder="1" applyAlignment="1" applyProtection="0">
      <alignment horizontal="center" vertical="center" wrapText="1"/>
      <protection hidden="0" locked="1"/>
    </xf>
    <xf fontId="6" fillId="4" borderId="11" numFmtId="9" xfId="0" applyNumberFormat="1" applyFont="1" applyFill="1" applyBorder="1" applyAlignment="1" applyProtection="0">
      <alignment horizontal="center" vertical="center" wrapText="1"/>
      <protection hidden="0" locked="1"/>
    </xf>
    <xf fontId="6" fillId="5" borderId="11" numFmtId="9" xfId="0" applyNumberFormat="1" applyFont="1" applyFill="1" applyBorder="1" applyAlignment="1" applyProtection="0">
      <alignment horizontal="center" vertical="center" wrapText="1"/>
      <protection hidden="0" locked="1"/>
    </xf>
    <xf fontId="6" fillId="0" borderId="10" numFmtId="2" xfId="0" applyNumberFormat="1" applyFont="1" applyBorder="1" applyAlignment="1" applyProtection="0">
      <alignment horizontal="center" vertical="center" wrapText="1"/>
      <protection hidden="0" locked="1"/>
    </xf>
    <xf fontId="6" fillId="0" borderId="11" numFmtId="2" xfId="0" applyNumberFormat="1" applyFont="1" applyBorder="1" applyAlignment="1" applyProtection="0">
      <alignment horizontal="center" vertical="center" wrapText="1"/>
      <protection hidden="0" locked="1"/>
    </xf>
    <xf fontId="7" fillId="0" borderId="0" numFmtId="0" xfId="0" applyFont="1" applyAlignment="1" applyProtection="0">
      <alignment wrapText="1"/>
      <protection hidden="0" locked="1"/>
    </xf>
    <xf fontId="7" fillId="0" borderId="11" numFmtId="0" xfId="0" applyFont="1" applyBorder="1" applyAlignment="1" applyProtection="0">
      <alignment horizontal="center" vertical="center" wrapText="1"/>
      <protection hidden="0" locked="1"/>
    </xf>
    <xf fontId="7" fillId="0" borderId="11" numFmtId="0" xfId="0" applyFont="1" applyBorder="1" applyAlignment="1" applyProtection="0">
      <alignment horizontal="left" vertical="center" wrapText="1"/>
      <protection hidden="0" locked="1"/>
    </xf>
    <xf fontId="7" fillId="0" borderId="8" numFmtId="2" xfId="0" applyNumberFormat="1" applyFont="1" applyBorder="1" applyAlignment="1" applyProtection="0">
      <alignment horizontal="center" vertical="center" wrapText="1"/>
      <protection hidden="0" locked="1"/>
    </xf>
    <xf fontId="7" fillId="3" borderId="11" numFmtId="165" xfId="0" applyNumberFormat="1" applyFont="1" applyFill="1" applyBorder="1" applyAlignment="1" applyProtection="0">
      <alignment horizontal="center" vertical="center" wrapText="1"/>
      <protection hidden="0" locked="1"/>
    </xf>
    <xf fontId="7" fillId="4" borderId="11" numFmtId="9" xfId="0" applyNumberFormat="1" applyFont="1" applyFill="1" applyBorder="1" applyAlignment="1" applyProtection="0">
      <alignment horizontal="center" vertical="center" wrapText="1"/>
      <protection hidden="0" locked="1"/>
    </xf>
    <xf fontId="7" fillId="4" borderId="11" numFmtId="0" xfId="0" applyFont="1" applyFill="1" applyBorder="1" applyAlignment="1" applyProtection="0">
      <alignment horizontal="center" vertical="center" wrapText="1"/>
      <protection hidden="0" locked="1"/>
    </xf>
    <xf fontId="7" fillId="5" borderId="11" numFmtId="9" xfId="0" applyNumberFormat="1" applyFont="1" applyFill="1" applyBorder="1" applyAlignment="1" applyProtection="0">
      <alignment horizontal="center" vertical="center" wrapText="1"/>
      <protection hidden="0" locked="1"/>
    </xf>
    <xf fontId="7" fillId="5" borderId="11" numFmtId="0" xfId="0" applyFont="1" applyFill="1" applyBorder="1" applyAlignment="1" applyProtection="0">
      <alignment horizontal="center" vertical="center" wrapText="1"/>
      <protection hidden="0" locked="1"/>
    </xf>
    <xf fontId="5" fillId="0" borderId="10" numFmtId="0" xfId="0" applyFont="1" applyBorder="1" applyAlignment="1" applyProtection="0">
      <alignment wrapText="1"/>
      <protection hidden="0" locked="1"/>
    </xf>
    <xf fontId="5" fillId="0" borderId="11" numFmtId="0" xfId="0" applyFont="1" applyBorder="1" applyAlignment="1" applyProtection="0">
      <alignment wrapText="1"/>
      <protection hidden="0" locked="1"/>
    </xf>
    <xf fontId="7" fillId="6" borderId="11" numFmtId="165" xfId="0" applyNumberFormat="1" applyFont="1" applyFill="1" applyBorder="1" applyAlignment="1" applyProtection="0">
      <alignment horizontal="center" vertical="center" wrapText="1"/>
      <protection hidden="0" locked="1"/>
    </xf>
    <xf fontId="8" fillId="0" borderId="0" numFmtId="0" xfId="0" applyFont="1" applyAlignment="1" applyProtection="0">
      <alignment wrapText="1"/>
      <protection hidden="0" locked="1"/>
    </xf>
    <xf fontId="8" fillId="0" borderId="11" numFmtId="0" xfId="0" applyFont="1" applyBorder="1" applyAlignment="1" applyProtection="0">
      <alignment horizontal="center" vertical="center" wrapText="1"/>
      <protection hidden="0" locked="1"/>
    </xf>
    <xf fontId="8" fillId="0" borderId="11" numFmtId="0" xfId="0" applyFont="1" applyBorder="1" applyAlignment="1" applyProtection="0">
      <alignment horizontal="left" vertical="center" wrapText="1"/>
      <protection hidden="0" locked="1"/>
    </xf>
    <xf fontId="0" fillId="0" borderId="11" numFmtId="2" xfId="0" applyNumberFormat="1" applyBorder="1" applyAlignment="1" applyProtection="0">
      <alignment horizontal="center" vertical="center"/>
      <protection hidden="0" locked="1"/>
    </xf>
    <xf fontId="8" fillId="5" borderId="11" numFmtId="165" xfId="0" applyNumberFormat="1" applyFont="1" applyFill="1" applyBorder="1" applyAlignment="1" applyProtection="0">
      <alignment horizontal="center" vertical="center" wrapText="1"/>
      <protection hidden="0" locked="1"/>
    </xf>
    <xf fontId="8" fillId="0" borderId="10" numFmtId="165" xfId="0" applyNumberFormat="1" applyFont="1" applyBorder="1" applyAlignment="1" applyProtection="0">
      <alignment horizontal="center" vertical="center" wrapText="1"/>
      <protection hidden="0" locked="1"/>
    </xf>
    <xf fontId="7" fillId="0" borderId="11" numFmtId="165" xfId="0" applyNumberFormat="1" applyFont="1" applyBorder="1" applyAlignment="1" applyProtection="0">
      <alignment horizontal="center" vertical="center" wrapText="1"/>
      <protection hidden="0" locked="1"/>
    </xf>
    <xf fontId="0" fillId="0" borderId="8" numFmtId="2" xfId="0" applyNumberFormat="1" applyBorder="1" applyAlignment="1" applyProtection="0">
      <alignment horizontal="center" vertical="center"/>
      <protection hidden="0" locked="1"/>
    </xf>
    <xf fontId="8" fillId="3" borderId="11" numFmtId="165" xfId="0" applyNumberFormat="1" applyFont="1" applyFill="1" applyBorder="1" applyAlignment="1" applyProtection="0">
      <alignment horizontal="center" vertical="center" wrapText="1"/>
      <protection hidden="0" locked="1"/>
    </xf>
    <xf fontId="8" fillId="4" borderId="11" numFmtId="9" xfId="0" applyNumberFormat="1" applyFont="1" applyFill="1" applyBorder="1" applyAlignment="1" applyProtection="0">
      <alignment horizontal="center" vertical="center" wrapText="1"/>
      <protection hidden="0" locked="1"/>
    </xf>
    <xf fontId="8" fillId="4" borderId="11" numFmtId="165" xfId="0" applyNumberFormat="1" applyFont="1" applyFill="1" applyBorder="1" applyAlignment="1" applyProtection="0">
      <alignment horizontal="center" vertical="center" wrapText="1"/>
      <protection hidden="0" locked="1"/>
    </xf>
    <xf fontId="8" fillId="5" borderId="11" numFmtId="9" xfId="0" applyNumberFormat="1" applyFont="1" applyFill="1" applyBorder="1" applyAlignment="1" applyProtection="0">
      <alignment horizontal="center" vertical="center" wrapText="1"/>
      <protection hidden="0" locked="1"/>
    </xf>
    <xf fontId="8" fillId="0" borderId="11" numFmtId="165" xfId="0" applyNumberFormat="1" applyFont="1" applyBorder="1" applyAlignment="1" applyProtection="0">
      <alignment horizontal="center" vertical="center" wrapText="1"/>
      <protection hidden="0" locked="1"/>
    </xf>
    <xf fontId="8" fillId="0" borderId="29" numFmtId="0" xfId="0" applyFont="1" applyBorder="1" applyAlignment="1" applyProtection="0">
      <alignment horizontal="left" vertical="center" wrapText="1"/>
      <protection hidden="0" locked="1"/>
    </xf>
    <xf fontId="8" fillId="0" borderId="29" numFmtId="0" xfId="0" applyFont="1" applyBorder="1" applyAlignment="1" applyProtection="0">
      <alignment horizontal="center" vertical="center" wrapText="1"/>
      <protection hidden="0" locked="1"/>
    </xf>
    <xf fontId="8" fillId="0" borderId="28" numFmtId="165" xfId="0" applyNumberFormat="1" applyFont="1" applyBorder="1" applyAlignment="1" applyProtection="0">
      <alignment horizontal="center" vertical="center" wrapText="1"/>
      <protection hidden="0" locked="1"/>
    </xf>
    <xf fontId="8" fillId="0" borderId="29" numFmtId="165" xfId="0" applyNumberFormat="1" applyFont="1" applyBorder="1" applyAlignment="1" applyProtection="0">
      <alignment horizontal="center" vertical="center" wrapText="1"/>
      <protection hidden="0" locked="1"/>
    </xf>
    <xf fontId="0" fillId="0" borderId="0" numFmtId="2" xfId="0" applyNumberFormat="1" applyAlignment="1" applyProtection="0">
      <alignment horizontal="center" vertical="center"/>
      <protection hidden="0" locked="1"/>
    </xf>
    <xf fontId="7" fillId="0" borderId="39" numFmtId="0" xfId="0" applyFont="1" applyBorder="1" applyAlignment="1" applyProtection="0">
      <alignment horizontal="center" vertical="center" wrapText="1"/>
      <protection hidden="0" locked="1"/>
    </xf>
    <xf fontId="7" fillId="0" borderId="39" numFmtId="0" xfId="0" applyFont="1" applyBorder="1" applyAlignment="1" applyProtection="0">
      <alignment horizontal="left" vertical="center" wrapText="1"/>
      <protection hidden="0" locked="1"/>
    </xf>
    <xf fontId="8" fillId="0" borderId="40" numFmtId="165" xfId="0" applyNumberFormat="1" applyFont="1" applyBorder="1" applyAlignment="1" applyProtection="0">
      <alignment horizontal="center" vertical="center" wrapText="1"/>
      <protection hidden="0" locked="1"/>
    </xf>
    <xf fontId="7" fillId="0" borderId="39" numFmtId="165" xfId="0" applyNumberFormat="1" applyFont="1" applyBorder="1" applyAlignment="1" applyProtection="0">
      <alignment horizontal="center" vertical="center" wrapText="1"/>
      <protection hidden="0" locked="1"/>
    </xf>
    <xf fontId="8" fillId="0" borderId="0" numFmtId="0" xfId="0" applyFont="1" applyAlignment="1" applyProtection="0">
      <alignment horizontal="center" vertical="center" wrapText="1"/>
      <protection hidden="0" locked="1"/>
    </xf>
    <xf fontId="8" fillId="0" borderId="27" numFmtId="0" xfId="0" applyFont="1" applyBorder="1" applyAlignment="1" applyProtection="0">
      <alignment horizontal="center" vertical="center" wrapText="1"/>
      <protection hidden="0" locked="1"/>
    </xf>
    <xf fontId="8" fillId="4" borderId="11" numFmtId="0" xfId="0" applyFont="1" applyFill="1" applyBorder="1" applyAlignment="1" applyProtection="0">
      <alignment horizontal="center" vertical="center" wrapText="1"/>
      <protection hidden="0" locked="1"/>
    </xf>
    <xf fontId="8" fillId="5" borderId="11" numFmtId="0" xfId="0" applyFont="1" applyFill="1" applyBorder="1" applyAlignment="1" applyProtection="0">
      <alignment horizontal="center" vertical="center" wrapText="1"/>
      <protection hidden="0" locked="1"/>
    </xf>
    <xf fontId="8" fillId="0" borderId="10" numFmtId="0" xfId="0" applyFont="1" applyBorder="1" applyAlignment="1" applyProtection="0">
      <alignment horizontal="center" vertical="center" wrapText="1"/>
      <protection hidden="0" locked="1"/>
    </xf>
    <xf fontId="9" fillId="0" borderId="11" numFmtId="165" xfId="0" applyNumberFormat="1" applyFont="1" applyBorder="1" applyAlignment="1" applyProtection="0">
      <alignment wrapText="1"/>
      <protection hidden="0" locked="1"/>
    </xf>
    <xf fontId="8" fillId="0" borderId="0" numFmtId="0" xfId="0" applyFont="1" applyAlignment="1" applyProtection="0">
      <alignment horizontal="left" vertical="center" wrapText="1"/>
      <protection hidden="0" locked="1"/>
    </xf>
    <xf fontId="8" fillId="0" borderId="0" numFmtId="2" xfId="0" applyNumberFormat="1" applyFont="1" applyAlignment="1" applyProtection="0">
      <alignment horizontal="center" vertical="center" wrapText="1"/>
      <protection hidden="0" locked="1"/>
    </xf>
    <xf fontId="8" fillId="6" borderId="11" numFmtId="9" xfId="0" applyNumberFormat="1" applyFont="1" applyFill="1" applyBorder="1" applyAlignment="1" applyProtection="0">
      <alignment horizontal="center" vertical="center" wrapText="1"/>
      <protection hidden="0" locked="1"/>
    </xf>
    <xf fontId="8" fillId="6" borderId="11" numFmtId="0" xfId="0" applyFont="1" applyFill="1" applyBorder="1" applyAlignment="1" applyProtection="0">
      <alignment horizontal="center" vertical="center" wrapText="1"/>
      <protection hidden="0" locked="1"/>
    </xf>
    <xf fontId="0" fillId="6" borderId="11" numFmtId="0" xfId="0" applyFill="1" applyBorder="1" applyAlignment="1" applyProtection="0">
      <alignment horizontal="center" vertical="center" wrapText="1"/>
      <protection hidden="0" locked="1"/>
    </xf>
    <xf fontId="9" fillId="0" borderId="0" numFmtId="0" xfId="0" applyFont="1" applyAlignment="1" applyProtection="0">
      <alignment horizontal="left" vertical="center" wrapText="1"/>
      <protection hidden="0" locked="1"/>
    </xf>
    <xf fontId="8" fillId="6" borderId="11" numFmtId="165" xfId="0" applyNumberFormat="1" applyFont="1" applyFill="1" applyBorder="1" applyAlignment="1" applyProtection="0">
      <alignment horizontal="center" vertical="center" wrapText="1"/>
      <protection hidden="0" locked="1"/>
    </xf>
    <xf fontId="0" fillId="6" borderId="11" numFmtId="10" xfId="0" applyNumberFormat="1" applyFill="1" applyBorder="1" applyAlignment="1" applyProtection="0">
      <alignment horizontal="center" vertical="center" wrapText="1"/>
      <protection hidden="0" locked="1"/>
    </xf>
    <xf fontId="0" fillId="6" borderId="11" numFmtId="166" xfId="0" applyNumberFormat="1" applyFill="1" applyBorder="1" applyAlignment="1" applyProtection="0">
      <alignment horizontal="center" vertical="center" wrapText="1"/>
      <protection hidden="0" locked="1"/>
    </xf>
    <xf fontId="7" fillId="0" borderId="11" numFmtId="0" xfId="0" applyFont="1" applyBorder="1" applyAlignment="1" applyProtection="0">
      <alignment wrapText="1"/>
      <protection hidden="0" locked="1"/>
    </xf>
    <xf fontId="7" fillId="0" borderId="11" numFmtId="0" xfId="0" applyFont="1" applyBorder="1" applyAlignment="1" applyProtection="0">
      <alignment horizontal="center" vertical="top"/>
      <protection hidden="0" locked="1"/>
    </xf>
    <xf fontId="8" fillId="0" borderId="11" numFmtId="0" xfId="0" applyFont="1" applyBorder="1" applyAlignment="1" applyProtection="0">
      <alignment wrapText="1"/>
      <protection hidden="0" locked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Moneda 2" xfId="6"/>
    <cellStyle name="Porcentaje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sheetMetadata" Target="metadata.xml"/><Relationship  Id="rId2" Type="http://schemas.microsoft.com/office/2017/10/relationships/person" Target="persons/person.xml"/><Relationship  Id="rId3" Type="http://schemas.openxmlformats.org/officeDocument/2006/relationships/worksheet" Target="worksheets/sheet1.xml"/><Relationship  Id="rId4" Type="http://schemas.openxmlformats.org/officeDocument/2006/relationships/worksheet" Target="worksheets/sheet2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rez" id="{35A22559-AA57-6E1D-A882-CB951B60511F}" userId="Perez" providerId="Teamlab"/>
  <person displayName="Unknown Author" id="{863D4427-7592-B0A4-538E-8C0C12C97E2C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3" dT="2026-07-22T20:10:59.17Z" personId="{35A22559-AA57-6E1D-A882-CB951B60511F}" id="{225F20B8-7AF4-82A8-CCB9-9DBE89BC1068}" done="0">
    <text xml:space="preserve">Verificar profundidad, en proyecto es 0.8m
</text>
  </threadedComment>
  <threadedComment ref="F14" dT="2026-07-22T20:10:59.17Z" personId="{35A22559-AA57-6E1D-A882-CB951B60511F}" id="{22AD9ED4-A826-21A3-73CD-60013254FA14}" done="0">
    <text xml:space="preserve">Verificar profundidad, en proyecto es 0.8m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2" personId="{863D4427-7592-B0A4-538E-8C0C12C97E2C}" id="{74F65825-6E72-4114-939C-901F2293269F}" done="0">
    <text xml:space="preserve">Generadores solo tiene 'ZAPATA CORRIDA DE 1.00m', no 'ZAPATA AISLADA'. Verificar si es el mismo concepto o falta levantar.
</text>
  </threadedComment>
  <threadedComment ref="F13" personId="{863D4427-7592-B0A4-538E-8C0C12C97E2C}" id="{1F8CE41E-4797-4737-A6BD-9C748FCFC24E}" done="0">
    <text xml:space="preserve">Generadores solo tiene 'ZAPATA CORRIDA DE 1.00m', no 'ZAPATA AISLADA 1.20x1.20'. Verificar o falta levantar.
</text>
  </threadedComment>
  <threadedComment ref="F14" personId="{863D4427-7592-B0A4-538E-8C0C12C97E2C}" id="{4022D02D-23E1-452B-9FA9-979B599D9FE8}" done="0">
    <text xml:space="preserve">Generadores tiene 'DADO DE 0.65 X 0.20', no 'DADO DE 0.20 X 0.20'. Dimensiones no coinciden; verificar clave/levantamiento.
</text>
  </threadedComment>
  <threadedComment ref="F15" personId="{863D4427-7592-B0A4-538E-8C0C12C97E2C}" id="{F7CD98C4-E387-4296-B1DD-1B404D10A861}" done="0">
    <text xml:space="preserve">Generadores tiene 'DADO DE 0.65 X 0.25', no 'DADO DE 0.25 X 0.25'. Dimensiones no coinciden; verificar clave/levantamiento.
</text>
  </threadedComment>
  <threadedComment ref="F20" personId="{863D4427-7592-B0A4-538E-8C0C12C97E2C}" id="{3DAF160F-109B-436B-9CA0-A54DBD601109}" done="0">
    <text xml:space="preserve">Generadores no tiene una 'DALA DE CERRAMIENTO...PARA CONFINAR CIMENTACION' independiente (solo existe la de acabado aparente, ya vinculada en 03-004). Verificar si aplica o falta levantar.
</text>
  </threadedComment>
  <threadedComment ref="F21" personId="{863D4427-7592-B0A4-538E-8C0C12C97E2C}" id="{DA52E26B-F525-4337-971A-6EF01CD6AD56}" done="0">
    <text xml:space="preserve">Generadores tiene 'RELLENO...POR CAPAS DE 20cm' (general), no uno específico 'EN TRABES DE LIGA'. Verificar si es el mismo o falta levantar.
</text>
  </threadedComment>
  <threadedComment ref="F25" personId="{863D4427-7592-B0A4-538E-8C0C12C97E2C}" id="{97028B00-303E-4AC0-8097-3C61B1084B86}" done="0">
    <text xml:space="preserve">Generadores tiene 'CASTILLO 16*15cm', catálogo pide '15*15cm'. Posible error de captura en alguno de los dos; verificar antes de vincular.
</text>
  </threadedComment>
  <threadedComment ref="F26" personId="{863D4427-7592-B0A4-538E-8C0C12C97E2C}" id="{4768EF7D-9013-4EDB-A409-3B7EA3C11F40}" done="0">
    <text xml:space="preserve">Generadores tiene 'COLUMNA DE 0.40 X 0.20', catálogo pide '20 X 50cm'. No coinciden dimensiones; verificar clave/levantamiento.
</text>
  </threadedComment>
  <threadedComment ref="F28" personId="{863D4427-7592-B0A4-538E-8C0C12C97E2C}" id="{05885ADA-4F6E-473F-8755-5168EA35819E}" done="0">
    <text xml:space="preserve">Concepto 'VIGA TIPO V1' sin descripción técnica ni datos en Generadores. Falta levantar o completar descripción.
</text>
  </threadedComment>
  <threadedComment ref="F29" personId="{863D4427-7592-B0A4-538E-8C0C12C97E2C}" id="{7616D139-D6EC-48F3-8003-F49701F2B81F}" done="0">
    <text xml:space="preserve">Concepto 'VIGA TIPO V2' sin descripción técnica ni datos en Generadores. Falta levantar o completar descripción.
</text>
  </threadedComment>
  <threadedComment ref="F31" personId="{863D4427-7592-B0A4-538E-8C0C12C97E2C}" id="{EC32FB9E-D6C1-4B9C-A0A8-78EBFB39A6D9}" done="0">
    <text xml:space="preserve">Generadores tiene 'LOSA ALIGERADA DE 20cm', catálogo pide 'LOSA DE VIGUETA Y DOVELA DE 25cm'. Son sistemas distintos; verificar.
</text>
  </threadedComment>
  <threadedComment ref="F32" personId="{863D4427-7592-B0A4-538E-8C0C12C97E2C}" id="{3E9BD8BD-2C8B-4950-A4BD-09C7B5474197}" done="0">
    <text xml:space="preserve">No se encontró concepto de 'PRETIL' en Generadores. Falta levantar.
</text>
  </threadedComment>
  <threadedComment ref="F34" personId="{863D4427-7592-B0A4-538E-8C0C12C97E2C}" id="{956D1505-E0DB-483B-AC59-C71FD30BE370}" done="0">
    <text xml:space="preserve">No se encontró concepto de 'GOTERO PARA VOLADO' en Generadores (existe un concepto genérico 'GOTERO' en filas 405/413, sin especificar si es para volado). Verificar antes de vincular.
</text>
  </threadedComment>
  <threadedComment ref="F36" personId="{863D4427-7592-B0A4-538E-8C0C12C97E2C}" id="{78182AFA-6314-4D3F-B2DC-6661C95F06DB}" done="0">
    <text xml:space="preserve">Generadores solo tiene aplanado de yeso 'EN MUROS' (fila 398); no hay uno específico 'EN PLAFONES'. No vincular para evitar mezclar cantidades.
</text>
  </threadedComment>
  <threadedComment ref="F5" personId="{863D4427-7592-B0A4-538E-8C0C12C97E2C}" id="{470C06B9-F333-4315-8A22-8D181E340217}" done="0">
    <text xml:space="preserve">No se encontró concepto equivalente en Generadores (demolición de piso no está levantada).
</text>
  </threadedComment>
  <threadedComment ref="F46" personId="{863D4427-7592-B0A4-538E-8C0C12C97E2C}" id="{0404F575-C7F3-481E-8660-2159E1D6D0D1}" done="0">
    <text xml:space="preserve">No se encontró concepto de tubería sanitaria en Generadores. Falta levantar instalación hidrosanitaria.
</text>
  </threadedComment>
  <threadedComment ref="F48" personId="{863D4427-7592-B0A4-538E-8C0C12C97E2C}" id="{FB7F988C-3602-4444-9B28-953E11F55AE7}" done="0">
    <text xml:space="preserve">No se encontró concepto de ramaleo hidráulico en Generadores. Falta levantar instalación hidrosanitaria.
</text>
  </threadedComment>
  <threadedComment ref="F49" personId="{863D4427-7592-B0A4-538E-8C0C12C97E2C}" id="{935C7DBA-C1DF-444E-9A73-048F3D19E4DC}" done="0">
    <text xml:space="preserve">No se encontró concepto de ramaleo hidráulico en Generadores. Falta levantar instalación hidrosanitaria.
</text>
  </threadedComment>
  <threadedComment ref="F50" personId="{863D4427-7592-B0A4-538E-8C0C12C97E2C}" id="{056093AB-9730-4902-BE05-EAE2CA39B3FB}" done="0">
    <text xml:space="preserve">No se encontró concepto de descarga sanitaria en Generadores. Falta levantar instalación hidrosanitaria.
</text>
  </threadedComment>
  <threadedComment ref="F6" personId="{863D4427-7592-B0A4-538E-8C0C12C97E2C}" id="{7E473E7C-BD9B-4E48-A813-AE8BDC11F45D}" done="0">
    <text xml:space="preserve">No se encontró concepto equivalente en Generadores (demolición de marquesina no está levantada).
</text>
  </threadedComment>
  <threadedComment ref="F51" personId="{863D4427-7592-B0A4-538E-8C0C12C97E2C}" id="{8057DE3C-7377-48B5-9A98-FD90912AC0BB}" done="0">
    <text xml:space="preserve">No se encontró concepto de descarga sanitaria en Generadores. Falta levantar instalación hidrosanitaria.
</text>
  </threadedComment>
  <threadedComment ref="F52" personId="{863D4427-7592-B0A4-538E-8C0C12C97E2C}" id="{31065033-AA9F-48E5-BDDE-41022C495C0A}" done="0">
    <text xml:space="preserve">No se encontró concepto de tubería sanitaria en Generadores. Falta levantar instalación hidrosanitaria.
</text>
  </threadedComment>
  <threadedComment ref="F53" personId="{863D4427-7592-B0A4-538E-8C0C12C97E2C}" id="{CD04982B-AD77-49BA-9272-AFCB0DC6A226}" done="0">
    <text xml:space="preserve">No se encontró concepto de tubería sanitaria en Generadores. Falta levantar instalación hidrosanitaria.
</text>
  </threadedComment>
  <threadedComment ref="F54" personId="{863D4427-7592-B0A4-538E-8C0C12C97E2C}" id="{7EAE6452-A763-41B9-96F9-25F94548B334}" done="0">
    <text xml:space="preserve">No se encontró concepto de tubo ventila en Generadores. Falta levantar instalación hidrosanitaria.
</text>
  </threadedComment>
  <threadedComment ref="F55" personId="{863D4427-7592-B0A4-538E-8C0C12C97E2C}" id="{DB043AA2-2C3A-4B41-85F7-4CDE2DB92BF9}" done="0">
    <text xml:space="preserve">No se encontró concepto de coladera en Generadores. Falta levantar instalación hidrosanitaria.
</text>
  </threadedComment>
  <threadedComment ref="F56" personId="{863D4427-7592-B0A4-538E-8C0C12C97E2C}" id="{076B4EFA-C8FA-4094-8881-F187A3CE4917}" done="0">
    <text xml:space="preserve">No se encontró concepto de WC en Generadores. Falta levantar muebles sanitarios.
</text>
  </threadedComment>
  <threadedComment ref="F57" personId="{863D4427-7592-B0A4-538E-8C0C12C97E2C}" id="{E03FE1C7-D1D3-4827-9AB5-6B942B9F7C4E}" done="0">
    <text xml:space="preserve">No se encontró concepto de lavabo en Generadores. Falta levantar muebles sanitarios.
</text>
  </threadedComment>
  <threadedComment ref="F59" personId="{863D4427-7592-B0A4-538E-8C0C12C97E2C}" id="{45311CA1-55FE-47EF-A64E-261F434910E0}" done="0">
    <text xml:space="preserve">No se encontró concepto de limpieza general en Generadores. Suele calcularse por área total de obra, no por generador.
</text>
  </threadedComment>
  <threadedComment ref="F71" personId="{863D4427-7592-B0A4-538E-8C0C12C97E2C}" id="{C7540194-A4AC-43E8-8BC2-1FD19112A7B3}" done="0">
    <text xml:space="preserve">Generadores solo tiene aplanado de yeso 'EN MUROS' (fila 398); no hay uno específico 'EN PLAFON'. No vincular para evitar mezclar cantidades.
</text>
  </threadedComment>
  <threadedComment ref="F75" personId="{863D4427-7592-B0A4-538E-8C0C12C97E2C}" id="{AEC9E06B-3FB5-400D-A059-5D1BF48FF12A}" done="0">
    <text xml:space="preserve">Generadores solo tiene aplanado de yeso 'EN MUROS' (fila 398); no hay uno específico 'EN PLAFON'. No vincular para evitar mezclar cantidades.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6" zoomScale="70" workbookViewId="0">
      <selection activeCell="B17" activeCellId="0" sqref="B17"/>
    </sheetView>
  </sheetViews>
  <sheetFormatPr defaultColWidth="10.6796875" defaultRowHeight="14.25"/>
  <cols>
    <col customWidth="1" min="1" max="1" style="2" width="12.28125"/>
    <col min="2" max="6" style="1" width="10.6796875"/>
    <col customWidth="1" min="7" max="7" style="1" width="11.57421875"/>
    <col min="8" max="8" style="1" width="10.6796875"/>
    <col customWidth="1" min="9" max="9" style="3" width="20.140000000000001"/>
    <col min="10" max="16384" style="1" width="10.6796875"/>
  </cols>
  <sheetData>
    <row r="2" ht="15" customHeight="1">
      <c r="A2" s="4" t="s">
        <v>0</v>
      </c>
      <c r="B2" s="5"/>
      <c r="C2" s="6"/>
      <c r="D2" s="6"/>
      <c r="E2" s="6"/>
      <c r="F2" s="6"/>
      <c r="G2" s="7"/>
      <c r="H2" s="8" t="s">
        <v>1</v>
      </c>
      <c r="I2" s="9"/>
    </row>
    <row r="3" ht="15" customHeight="1">
      <c r="A3" s="10" t="s">
        <v>2</v>
      </c>
      <c r="B3" s="11"/>
      <c r="C3" s="12"/>
      <c r="D3" s="12"/>
      <c r="E3" s="12"/>
      <c r="F3" s="12"/>
      <c r="G3" s="13"/>
      <c r="H3" s="14" t="s">
        <v>3</v>
      </c>
      <c r="I3" s="15"/>
      <c r="K3" s="1"/>
    </row>
    <row r="4" ht="40.5" customHeight="1">
      <c r="A4" s="16" t="s">
        <v>4</v>
      </c>
      <c r="B4" s="17" t="s">
        <v>5</v>
      </c>
      <c r="C4" s="18"/>
      <c r="D4" s="18"/>
      <c r="E4" s="18"/>
      <c r="F4" s="18"/>
      <c r="G4" s="19"/>
      <c r="H4" s="20" t="s">
        <v>6</v>
      </c>
      <c r="I4" s="21">
        <f>SUM(H6:H6)</f>
        <v>34.713000000000001</v>
      </c>
      <c r="J4" s="1"/>
      <c r="K4" s="1"/>
    </row>
    <row r="5" s="1" customFormat="1" ht="15" customHeight="1">
      <c r="A5" s="22" t="s">
        <v>7</v>
      </c>
      <c r="B5" s="23" t="s">
        <v>8</v>
      </c>
      <c r="C5" s="24" t="s">
        <v>9</v>
      </c>
      <c r="D5" s="24" t="s">
        <v>10</v>
      </c>
      <c r="E5" s="24" t="s">
        <v>11</v>
      </c>
      <c r="F5" s="24" t="s">
        <v>12</v>
      </c>
      <c r="G5" s="24" t="s">
        <v>13</v>
      </c>
      <c r="H5" s="25" t="s">
        <v>14</v>
      </c>
      <c r="I5" s="26" t="s">
        <v>15</v>
      </c>
      <c r="J5" s="1"/>
    </row>
    <row r="6" ht="93" customHeight="1">
      <c r="A6" s="27" t="s">
        <v>16</v>
      </c>
      <c r="B6" s="28" t="s">
        <v>17</v>
      </c>
      <c r="C6" s="29" t="s">
        <v>18</v>
      </c>
      <c r="D6" s="29">
        <v>5.5099999999999998</v>
      </c>
      <c r="E6" s="29">
        <v>6.2999999999999998</v>
      </c>
      <c r="F6" s="30"/>
      <c r="G6" s="31"/>
      <c r="H6" s="32">
        <f>PRODUCT(D6:G6)</f>
        <v>34.713000000000001</v>
      </c>
      <c r="I6" s="33"/>
      <c r="J6" s="1"/>
    </row>
    <row r="9" ht="15" customHeight="1">
      <c r="A9" s="4" t="s">
        <v>0</v>
      </c>
      <c r="B9" s="5"/>
      <c r="C9" s="6"/>
      <c r="D9" s="6"/>
      <c r="E9" s="6"/>
      <c r="F9" s="6"/>
      <c r="G9" s="7"/>
      <c r="H9" s="8" t="s">
        <v>1</v>
      </c>
      <c r="I9" s="9"/>
      <c r="J9" s="1"/>
    </row>
    <row r="10" ht="15" customHeight="1">
      <c r="A10" s="10" t="s">
        <v>2</v>
      </c>
      <c r="B10" s="11"/>
      <c r="C10" s="12"/>
      <c r="D10" s="12"/>
      <c r="E10" s="12"/>
      <c r="F10" s="12"/>
      <c r="G10" s="13"/>
      <c r="H10" s="14" t="s">
        <v>3</v>
      </c>
      <c r="I10" s="15"/>
      <c r="J10" s="1"/>
    </row>
    <row r="11" ht="48" customHeight="1">
      <c r="A11" s="34" t="s">
        <v>4</v>
      </c>
      <c r="B11" s="35" t="s">
        <v>19</v>
      </c>
      <c r="C11" s="36"/>
      <c r="D11" s="36"/>
      <c r="E11" s="36"/>
      <c r="F11" s="36"/>
      <c r="G11" s="37"/>
      <c r="H11" s="38" t="s">
        <v>6</v>
      </c>
      <c r="I11" s="39">
        <f>SUM(H13:H14)</f>
        <v>7.1820000000000013</v>
      </c>
      <c r="J11" s="1"/>
      <c r="K11" s="1"/>
    </row>
    <row r="12" s="1" customFormat="1" ht="15" customHeight="1">
      <c r="A12" s="22" t="s">
        <v>7</v>
      </c>
      <c r="B12" s="23" t="s">
        <v>8</v>
      </c>
      <c r="C12" s="24" t="s">
        <v>9</v>
      </c>
      <c r="D12" s="24" t="s">
        <v>10</v>
      </c>
      <c r="E12" s="24" t="s">
        <v>11</v>
      </c>
      <c r="F12" s="24" t="s">
        <v>12</v>
      </c>
      <c r="G12" s="24" t="s">
        <v>13</v>
      </c>
      <c r="H12" s="25" t="s">
        <v>14</v>
      </c>
      <c r="I12" s="26" t="s">
        <v>15</v>
      </c>
      <c r="J12" s="1"/>
    </row>
    <row r="13" ht="129.75" customHeight="1">
      <c r="A13" s="40" t="s">
        <v>16</v>
      </c>
      <c r="B13" s="41" t="s">
        <v>20</v>
      </c>
      <c r="C13" s="42" t="s">
        <v>21</v>
      </c>
      <c r="D13" s="42">
        <v>2.6600000000000001</v>
      </c>
      <c r="E13" s="42">
        <v>1</v>
      </c>
      <c r="F13" s="43">
        <v>1.3500000000000001</v>
      </c>
      <c r="G13" s="42">
        <v>1</v>
      </c>
      <c r="H13" s="44">
        <f t="shared" ref="H13:H59" si="0">PRODUCT(D13:G13)</f>
        <v>3.5910000000000006</v>
      </c>
      <c r="I13" s="45"/>
      <c r="J13" s="1"/>
    </row>
    <row r="14" ht="15" customHeight="1">
      <c r="A14" s="46" t="s">
        <v>22</v>
      </c>
      <c r="B14" s="47" t="s">
        <v>20</v>
      </c>
      <c r="C14" s="29" t="s">
        <v>21</v>
      </c>
      <c r="D14" s="48">
        <v>2.6600000000000001</v>
      </c>
      <c r="E14" s="29">
        <v>1</v>
      </c>
      <c r="F14" s="48">
        <v>1.3500000000000001</v>
      </c>
      <c r="G14" s="29">
        <v>1</v>
      </c>
      <c r="H14" s="49">
        <f t="shared" si="0"/>
        <v>3.5910000000000006</v>
      </c>
      <c r="I14" s="50"/>
      <c r="J14" s="1"/>
    </row>
    <row r="15" ht="15" customHeight="1">
      <c r="A15" s="3"/>
      <c r="B15" s="51"/>
      <c r="C15" s="52"/>
      <c r="D15" s="52"/>
      <c r="E15" s="52"/>
      <c r="F15" s="52"/>
      <c r="G15" s="52"/>
      <c r="H15" s="53"/>
      <c r="I15" s="3"/>
      <c r="J15" s="1"/>
    </row>
    <row r="16" ht="15" customHeight="1">
      <c r="A16" s="4" t="s">
        <v>0</v>
      </c>
      <c r="B16" s="5"/>
      <c r="C16" s="6"/>
      <c r="D16" s="6"/>
      <c r="E16" s="6"/>
      <c r="F16" s="6"/>
      <c r="G16" s="7"/>
      <c r="H16" s="8" t="s">
        <v>1</v>
      </c>
      <c r="I16" s="9"/>
      <c r="J16" s="1"/>
    </row>
    <row r="17" ht="15" customHeight="1">
      <c r="A17" s="10" t="s">
        <v>2</v>
      </c>
      <c r="B17" s="11"/>
      <c r="C17" s="12"/>
      <c r="D17" s="12"/>
      <c r="E17" s="12"/>
      <c r="F17" s="12"/>
      <c r="G17" s="13"/>
      <c r="H17" s="14" t="s">
        <v>3</v>
      </c>
      <c r="I17" s="15"/>
      <c r="J17" s="1"/>
    </row>
    <row r="18" ht="33.75" customHeight="1">
      <c r="A18" s="34" t="s">
        <v>4</v>
      </c>
      <c r="B18" s="35" t="s">
        <v>23</v>
      </c>
      <c r="C18" s="36"/>
      <c r="D18" s="36"/>
      <c r="E18" s="36"/>
      <c r="F18" s="36"/>
      <c r="G18" s="37"/>
      <c r="H18" s="38" t="s">
        <v>6</v>
      </c>
      <c r="I18" s="54">
        <f>SUM(H20:H20)</f>
        <v>0.56500000000000006</v>
      </c>
      <c r="J18" s="1"/>
      <c r="K18" s="1"/>
    </row>
    <row r="19" ht="15" customHeight="1">
      <c r="A19" s="22" t="s">
        <v>7</v>
      </c>
      <c r="B19" s="23" t="s">
        <v>8</v>
      </c>
      <c r="C19" s="24" t="s">
        <v>9</v>
      </c>
      <c r="D19" s="24" t="s">
        <v>10</v>
      </c>
      <c r="E19" s="24" t="s">
        <v>11</v>
      </c>
      <c r="F19" s="24" t="s">
        <v>12</v>
      </c>
      <c r="G19" s="24" t="s">
        <v>13</v>
      </c>
      <c r="H19" s="25" t="s">
        <v>14</v>
      </c>
      <c r="I19" s="26" t="s">
        <v>15</v>
      </c>
      <c r="J19" s="1"/>
    </row>
    <row r="20" ht="117" customHeight="1">
      <c r="A20" s="46">
        <v>17</v>
      </c>
      <c r="B20" s="28" t="s">
        <v>16</v>
      </c>
      <c r="C20" s="29" t="s">
        <v>21</v>
      </c>
      <c r="D20" s="29">
        <v>0.25</v>
      </c>
      <c r="E20" s="29">
        <v>5.6500000000000004</v>
      </c>
      <c r="F20" s="29">
        <v>0.40000000000000002</v>
      </c>
      <c r="G20" s="29"/>
      <c r="H20" s="55">
        <f t="shared" si="0"/>
        <v>0.56500000000000006</v>
      </c>
      <c r="I20" s="33"/>
      <c r="J20" s="1"/>
    </row>
    <row r="21" ht="15" customHeight="1">
      <c r="A21" s="3"/>
      <c r="B21" s="51"/>
      <c r="C21" s="52"/>
      <c r="D21" s="52"/>
      <c r="E21" s="52"/>
      <c r="F21" s="52"/>
      <c r="G21" s="52"/>
      <c r="H21" s="53"/>
      <c r="I21" s="3"/>
      <c r="J21" s="1"/>
    </row>
    <row r="22" ht="15" customHeight="1">
      <c r="A22" s="3"/>
      <c r="B22" s="51"/>
      <c r="C22" s="52"/>
      <c r="D22" s="52"/>
      <c r="E22" s="52"/>
      <c r="F22" s="52"/>
      <c r="G22" s="52"/>
      <c r="H22" s="53"/>
      <c r="I22" s="3"/>
      <c r="J22" s="1"/>
    </row>
    <row r="23" ht="15" customHeight="1">
      <c r="A23" s="4" t="s">
        <v>0</v>
      </c>
      <c r="B23" s="5"/>
      <c r="C23" s="6"/>
      <c r="D23" s="6"/>
      <c r="E23" s="6"/>
      <c r="F23" s="6"/>
      <c r="G23" s="7"/>
      <c r="H23" s="8" t="s">
        <v>1</v>
      </c>
      <c r="I23" s="9"/>
      <c r="J23" s="1"/>
    </row>
    <row r="24" ht="15" customHeight="1">
      <c r="A24" s="10" t="s">
        <v>2</v>
      </c>
      <c r="B24" s="11"/>
      <c r="C24" s="12"/>
      <c r="D24" s="12"/>
      <c r="E24" s="12"/>
      <c r="F24" s="12"/>
      <c r="G24" s="13"/>
      <c r="H24" s="14" t="s">
        <v>3</v>
      </c>
      <c r="I24" s="15"/>
      <c r="J24" s="1"/>
    </row>
    <row r="25" ht="29.25" customHeight="1">
      <c r="A25" s="34" t="s">
        <v>4</v>
      </c>
      <c r="B25" s="35" t="s">
        <v>24</v>
      </c>
      <c r="C25" s="36"/>
      <c r="D25" s="36"/>
      <c r="E25" s="36"/>
      <c r="F25" s="36"/>
      <c r="G25" s="37"/>
      <c r="H25" s="38" t="s">
        <v>6</v>
      </c>
      <c r="I25" s="54">
        <f>SUM(H27:H28)</f>
        <v>8.9320000000000022</v>
      </c>
      <c r="J25" s="1"/>
      <c r="K25" s="1"/>
    </row>
    <row r="26" s="1" customFormat="1" ht="15" customHeight="1">
      <c r="A26" s="22" t="s">
        <v>7</v>
      </c>
      <c r="B26" s="23" t="s">
        <v>8</v>
      </c>
      <c r="C26" s="24" t="s">
        <v>9</v>
      </c>
      <c r="D26" s="24" t="s">
        <v>10</v>
      </c>
      <c r="E26" s="24" t="s">
        <v>11</v>
      </c>
      <c r="F26" s="24" t="s">
        <v>12</v>
      </c>
      <c r="G26" s="24" t="s">
        <v>13</v>
      </c>
      <c r="H26" s="56" t="s">
        <v>14</v>
      </c>
      <c r="I26" s="26" t="s">
        <v>15</v>
      </c>
      <c r="J26" s="1"/>
    </row>
    <row r="27" ht="54.75" customHeight="1">
      <c r="A27" s="40" t="s">
        <v>16</v>
      </c>
      <c r="B27" s="57" t="s">
        <v>20</v>
      </c>
      <c r="C27" s="42" t="s">
        <v>21</v>
      </c>
      <c r="D27" s="42">
        <v>2.6600000000000001</v>
      </c>
      <c r="E27" s="42">
        <v>1</v>
      </c>
      <c r="F27" s="42">
        <v>1.3500000000000001</v>
      </c>
      <c r="G27" s="42">
        <v>2</v>
      </c>
      <c r="H27" s="58">
        <f t="shared" si="0"/>
        <v>7.1820000000000013</v>
      </c>
      <c r="I27" s="59"/>
      <c r="J27" s="1"/>
    </row>
    <row r="28" ht="51" customHeight="1">
      <c r="A28" s="46">
        <v>17</v>
      </c>
      <c r="B28" s="28" t="s">
        <v>16</v>
      </c>
      <c r="C28" s="29" t="s">
        <v>21</v>
      </c>
      <c r="D28" s="29">
        <v>0.5</v>
      </c>
      <c r="E28" s="29">
        <v>5</v>
      </c>
      <c r="F28" s="29">
        <v>0.69999999999999996</v>
      </c>
      <c r="G28" s="29"/>
      <c r="H28" s="60">
        <f t="shared" si="0"/>
        <v>1.75</v>
      </c>
      <c r="I28" s="61"/>
      <c r="J28" s="1"/>
    </row>
    <row r="29" ht="15" customHeight="1">
      <c r="A29" s="3"/>
      <c r="B29" s="51"/>
      <c r="C29" s="52"/>
      <c r="D29" s="52"/>
      <c r="E29" s="52"/>
      <c r="H29" s="53"/>
      <c r="I29" s="3"/>
      <c r="J29" s="1"/>
    </row>
    <row r="31" ht="15" customHeight="1">
      <c r="A31" s="4" t="s">
        <v>0</v>
      </c>
      <c r="B31" s="5"/>
      <c r="C31" s="6"/>
      <c r="D31" s="6"/>
      <c r="E31" s="6"/>
      <c r="F31" s="6"/>
      <c r="G31" s="7"/>
      <c r="H31" s="8" t="s">
        <v>1</v>
      </c>
      <c r="I31" s="9"/>
      <c r="J31" s="1"/>
    </row>
    <row r="32" ht="15" customHeight="1">
      <c r="A32" s="10" t="s">
        <v>2</v>
      </c>
      <c r="B32" s="11"/>
      <c r="C32" s="12"/>
      <c r="D32" s="12"/>
      <c r="E32" s="12"/>
      <c r="F32" s="12"/>
      <c r="G32" s="13"/>
      <c r="H32" s="14" t="s">
        <v>3</v>
      </c>
      <c r="I32" s="15"/>
      <c r="J32" s="1"/>
    </row>
    <row r="33" ht="45.75" customHeight="1">
      <c r="A33" s="34" t="s">
        <v>4</v>
      </c>
      <c r="B33" s="35" t="s">
        <v>25</v>
      </c>
      <c r="C33" s="36"/>
      <c r="D33" s="36"/>
      <c r="E33" s="36"/>
      <c r="F33" s="36"/>
      <c r="G33" s="37"/>
      <c r="H33" s="38" t="s">
        <v>6</v>
      </c>
      <c r="I33" s="39">
        <f>SUM(H35:H36)</f>
        <v>5.3200000000000003</v>
      </c>
      <c r="J33" s="1"/>
      <c r="K33" s="1"/>
    </row>
    <row r="34" s="1" customFormat="1" ht="15" customHeight="1">
      <c r="A34" s="22" t="s">
        <v>7</v>
      </c>
      <c r="B34" s="23" t="s">
        <v>8</v>
      </c>
      <c r="C34" s="24" t="s">
        <v>9</v>
      </c>
      <c r="D34" s="24" t="s">
        <v>10</v>
      </c>
      <c r="E34" s="24" t="s">
        <v>11</v>
      </c>
      <c r="F34" s="24" t="s">
        <v>12</v>
      </c>
      <c r="G34" s="24" t="s">
        <v>13</v>
      </c>
      <c r="H34" s="56" t="s">
        <v>14</v>
      </c>
      <c r="I34" s="26" t="s">
        <v>15</v>
      </c>
      <c r="J34" s="1"/>
    </row>
    <row r="35" ht="115.5" customHeight="1">
      <c r="A35" s="40" t="s">
        <v>16</v>
      </c>
      <c r="B35" s="57" t="s">
        <v>20</v>
      </c>
      <c r="C35" s="42" t="s">
        <v>26</v>
      </c>
      <c r="D35" s="42" cm="1">
        <f t="array" ref="D35:E36">D13:E14</f>
        <v>2.6600000000000001</v>
      </c>
      <c r="E35" s="42">
        <f/>
        <v>1</v>
      </c>
      <c r="F35" s="42"/>
      <c r="G35" s="42"/>
      <c r="H35" s="58">
        <f t="shared" si="0"/>
        <v>2.6600000000000001</v>
      </c>
      <c r="I35" s="59"/>
      <c r="J35" s="1"/>
    </row>
    <row r="36" ht="15" customHeight="1">
      <c r="A36" s="46" t="s">
        <v>16</v>
      </c>
      <c r="B36" s="28" t="s">
        <v>20</v>
      </c>
      <c r="C36" s="29" t="s">
        <v>26</v>
      </c>
      <c r="D36" s="29">
        <f/>
        <v>2.6600000000000001</v>
      </c>
      <c r="E36" s="29">
        <f/>
        <v>1</v>
      </c>
      <c r="F36" s="29"/>
      <c r="G36" s="29"/>
      <c r="H36" s="60">
        <f t="shared" si="0"/>
        <v>2.6600000000000001</v>
      </c>
      <c r="I36" s="62"/>
      <c r="J36" s="1"/>
    </row>
    <row r="37" ht="15" customHeight="1">
      <c r="A37" s="63"/>
      <c r="B37" s="64"/>
      <c r="C37" s="65"/>
      <c r="D37" s="65"/>
      <c r="E37" s="65"/>
      <c r="F37" s="65"/>
      <c r="G37" s="65"/>
      <c r="H37" s="66"/>
      <c r="I37" s="3"/>
      <c r="J37" s="1"/>
    </row>
    <row r="39" ht="15" customHeight="1">
      <c r="A39" s="4" t="s">
        <v>0</v>
      </c>
      <c r="B39" s="5"/>
      <c r="C39" s="6"/>
      <c r="D39" s="6"/>
      <c r="E39" s="6"/>
      <c r="F39" s="6"/>
      <c r="G39" s="7"/>
      <c r="H39" s="8" t="s">
        <v>1</v>
      </c>
      <c r="I39" s="9"/>
      <c r="J39" s="1"/>
    </row>
    <row r="40" ht="15" customHeight="1">
      <c r="A40" s="10" t="s">
        <v>2</v>
      </c>
      <c r="B40" s="11"/>
      <c r="C40" s="12"/>
      <c r="D40" s="12"/>
      <c r="E40" s="12"/>
      <c r="F40" s="12"/>
      <c r="G40" s="13"/>
      <c r="H40" s="14" t="s">
        <v>3</v>
      </c>
      <c r="I40" s="15"/>
      <c r="J40" s="1"/>
    </row>
    <row r="41" ht="81.75" customHeight="1">
      <c r="A41" s="34" t="s">
        <v>4</v>
      </c>
      <c r="B41" s="35" t="s">
        <v>27</v>
      </c>
      <c r="C41" s="36"/>
      <c r="D41" s="36"/>
      <c r="E41" s="36"/>
      <c r="F41" s="36"/>
      <c r="G41" s="37"/>
      <c r="H41" s="38" t="s">
        <v>6</v>
      </c>
      <c r="I41" s="54">
        <f>SUM(H43:H44)</f>
        <v>1.0640000000000001</v>
      </c>
      <c r="J41" s="1"/>
      <c r="K41" s="1"/>
    </row>
    <row r="42" ht="15" customHeight="1">
      <c r="A42" s="67" t="s">
        <v>7</v>
      </c>
      <c r="B42" s="68" t="s">
        <v>8</v>
      </c>
      <c r="C42" s="24" t="s">
        <v>9</v>
      </c>
      <c r="D42" s="24" t="s">
        <v>10</v>
      </c>
      <c r="E42" s="24" t="s">
        <v>11</v>
      </c>
      <c r="F42" s="24" t="s">
        <v>12</v>
      </c>
      <c r="G42" s="24" t="s">
        <v>13</v>
      </c>
      <c r="H42" s="25" t="s">
        <v>14</v>
      </c>
      <c r="I42" s="26" t="s">
        <v>15</v>
      </c>
      <c r="J42" s="1"/>
    </row>
    <row r="43" ht="101.25" customHeight="1">
      <c r="A43" s="69" t="s">
        <v>28</v>
      </c>
      <c r="B43" s="70" t="s">
        <v>20</v>
      </c>
      <c r="C43" s="71"/>
      <c r="D43" s="71">
        <v>2.6600000000000001</v>
      </c>
      <c r="E43" s="71">
        <v>1</v>
      </c>
      <c r="F43" s="71">
        <v>0.20000000000000001</v>
      </c>
      <c r="G43" s="71"/>
      <c r="H43" s="72">
        <f t="shared" si="0"/>
        <v>0.53200000000000003</v>
      </c>
      <c r="I43" s="73"/>
      <c r="J43" s="1"/>
    </row>
    <row r="44" ht="120.75" customHeight="1">
      <c r="A44" s="74" t="s">
        <v>29</v>
      </c>
      <c r="B44" s="75" t="s">
        <v>20</v>
      </c>
      <c r="C44" s="31"/>
      <c r="D44" s="31">
        <v>2.6600000000000001</v>
      </c>
      <c r="E44" s="31">
        <v>1</v>
      </c>
      <c r="F44" s="31">
        <v>0.20000000000000001</v>
      </c>
      <c r="G44" s="31"/>
      <c r="H44" s="32">
        <f t="shared" si="0"/>
        <v>0.53200000000000003</v>
      </c>
      <c r="I44" s="33"/>
      <c r="J44" s="1"/>
    </row>
    <row r="47" ht="15" customHeight="1">
      <c r="A47" s="4" t="s">
        <v>0</v>
      </c>
      <c r="B47" s="5"/>
      <c r="C47" s="6"/>
      <c r="D47" s="6"/>
      <c r="E47" s="6"/>
      <c r="F47" s="6"/>
      <c r="G47" s="7"/>
      <c r="H47" s="8" t="s">
        <v>1</v>
      </c>
      <c r="I47" s="9"/>
      <c r="J47" s="1"/>
    </row>
    <row r="48" ht="15" customHeight="1">
      <c r="A48" s="10" t="s">
        <v>2</v>
      </c>
      <c r="B48" s="11"/>
      <c r="C48" s="12"/>
      <c r="D48" s="12"/>
      <c r="E48" s="12"/>
      <c r="F48" s="12"/>
      <c r="G48" s="13"/>
      <c r="H48" s="14" t="s">
        <v>3</v>
      </c>
      <c r="I48" s="15"/>
      <c r="J48" s="1"/>
    </row>
    <row r="49" ht="65.25" customHeight="1">
      <c r="A49" s="16" t="s">
        <v>4</v>
      </c>
      <c r="B49" s="17" t="s">
        <v>30</v>
      </c>
      <c r="C49" s="18"/>
      <c r="D49" s="18"/>
      <c r="E49" s="18"/>
      <c r="F49" s="18"/>
      <c r="G49" s="19"/>
      <c r="H49" s="20" t="s">
        <v>6</v>
      </c>
      <c r="I49" s="21">
        <f>SUM(H51:H51)</f>
        <v>4.2000000000000002</v>
      </c>
      <c r="J49" s="1"/>
      <c r="K49" s="1"/>
    </row>
    <row r="50" s="1" customFormat="1" ht="15" customHeight="1">
      <c r="A50" s="22" t="s">
        <v>7</v>
      </c>
      <c r="B50" s="23" t="s">
        <v>8</v>
      </c>
      <c r="C50" s="24" t="s">
        <v>9</v>
      </c>
      <c r="D50" s="24" t="s">
        <v>10</v>
      </c>
      <c r="E50" s="24" t="s">
        <v>11</v>
      </c>
      <c r="F50" s="24" t="s">
        <v>12</v>
      </c>
      <c r="G50" s="24" t="s">
        <v>13</v>
      </c>
      <c r="H50" s="25" t="s">
        <v>14</v>
      </c>
      <c r="I50" s="26" t="s">
        <v>15</v>
      </c>
      <c r="J50" s="1"/>
    </row>
    <row r="51" ht="157.5" customHeight="1">
      <c r="A51" s="76">
        <v>17</v>
      </c>
      <c r="B51" s="28" t="s">
        <v>31</v>
      </c>
      <c r="C51" s="29" t="s">
        <v>32</v>
      </c>
      <c r="D51" s="29"/>
      <c r="E51" s="29"/>
      <c r="F51" s="48">
        <v>1.05</v>
      </c>
      <c r="G51" s="48">
        <v>4</v>
      </c>
      <c r="H51" s="55">
        <f t="shared" si="0"/>
        <v>4.2000000000000002</v>
      </c>
      <c r="I51" s="33"/>
      <c r="J51" s="1"/>
    </row>
    <row r="52" ht="15" customHeight="1">
      <c r="A52" s="2"/>
      <c r="B52" s="2"/>
      <c r="C52" s="2"/>
      <c r="D52" s="2"/>
      <c r="E52" s="2"/>
      <c r="F52" s="2"/>
      <c r="G52" s="2"/>
    </row>
    <row r="53" ht="15" customHeight="1">
      <c r="A53" s="2"/>
      <c r="B53" s="2"/>
      <c r="C53" s="2"/>
      <c r="D53" s="2"/>
      <c r="E53" s="2"/>
      <c r="F53" s="2"/>
      <c r="G53" s="2"/>
    </row>
    <row r="54" ht="15" customHeight="1">
      <c r="A54" s="4" t="s">
        <v>0</v>
      </c>
      <c r="B54" s="5"/>
      <c r="C54" s="6"/>
      <c r="D54" s="6"/>
      <c r="E54" s="6"/>
      <c r="F54" s="6"/>
      <c r="G54" s="7"/>
      <c r="H54" s="8" t="s">
        <v>1</v>
      </c>
      <c r="I54" s="9"/>
      <c r="J54" s="1"/>
    </row>
    <row r="55" ht="15" customHeight="1">
      <c r="A55" s="10" t="s">
        <v>2</v>
      </c>
      <c r="B55" s="11"/>
      <c r="C55" s="12"/>
      <c r="D55" s="12"/>
      <c r="E55" s="12"/>
      <c r="F55" s="12"/>
      <c r="G55" s="13"/>
      <c r="H55" s="14" t="s">
        <v>3</v>
      </c>
      <c r="I55" s="15"/>
      <c r="J55" s="1"/>
    </row>
    <row r="56" ht="49.5" customHeight="1">
      <c r="A56" s="16" t="s">
        <v>4</v>
      </c>
      <c r="B56" s="17" t="s">
        <v>33</v>
      </c>
      <c r="C56" s="18"/>
      <c r="D56" s="18"/>
      <c r="E56" s="18"/>
      <c r="F56" s="18"/>
      <c r="G56" s="19"/>
      <c r="H56" s="20" t="s">
        <v>6</v>
      </c>
      <c r="I56" s="21">
        <f>SUM(H58:H59)</f>
        <v>4.9809999999999999</v>
      </c>
      <c r="J56" s="1"/>
      <c r="K56" s="1"/>
    </row>
    <row r="57" s="1" customFormat="1" ht="15" customHeight="1">
      <c r="A57" s="22" t="s">
        <v>7</v>
      </c>
      <c r="B57" s="23" t="s">
        <v>8</v>
      </c>
      <c r="C57" s="24" t="s">
        <v>9</v>
      </c>
      <c r="D57" s="24" t="s">
        <v>10</v>
      </c>
      <c r="E57" s="24" t="s">
        <v>11</v>
      </c>
      <c r="F57" s="24" t="s">
        <v>12</v>
      </c>
      <c r="G57" s="24" t="s">
        <v>13</v>
      </c>
      <c r="H57" s="25" t="s">
        <v>14</v>
      </c>
      <c r="I57" s="26" t="s">
        <v>15</v>
      </c>
      <c r="J57" s="1"/>
    </row>
    <row r="58" ht="69.75" customHeight="1">
      <c r="A58" s="77" t="s">
        <v>28</v>
      </c>
      <c r="B58" s="70" t="s">
        <v>20</v>
      </c>
      <c r="C58" s="71" t="s">
        <v>18</v>
      </c>
      <c r="D58" s="71">
        <v>2.6499999999999999</v>
      </c>
      <c r="E58" s="71"/>
      <c r="F58" s="71">
        <v>0.84999999999999998</v>
      </c>
      <c r="G58" s="71"/>
      <c r="H58" s="72">
        <f t="shared" si="0"/>
        <v>2.2524999999999999</v>
      </c>
      <c r="I58" s="78"/>
      <c r="J58" s="1"/>
    </row>
    <row r="59" ht="72.75" customHeight="1">
      <c r="A59" s="77" t="s">
        <v>29</v>
      </c>
      <c r="B59" s="70" t="s">
        <v>20</v>
      </c>
      <c r="C59" s="71" t="s">
        <v>18</v>
      </c>
      <c r="D59" s="71">
        <v>3.21</v>
      </c>
      <c r="E59" s="71"/>
      <c r="F59" s="71">
        <v>0.84999999999999998</v>
      </c>
      <c r="G59" s="71"/>
      <c r="H59" s="72">
        <f t="shared" si="0"/>
        <v>2.7284999999999999</v>
      </c>
      <c r="I59" s="78"/>
      <c r="J59" s="1"/>
    </row>
    <row r="60" ht="14.25">
      <c r="A60" s="2"/>
      <c r="B60" s="1"/>
      <c r="C60" s="1"/>
      <c r="D60" s="1"/>
      <c r="E60" s="1"/>
      <c r="F60" s="1"/>
      <c r="G60" s="1"/>
    </row>
    <row r="61" ht="14.25">
      <c r="A61" s="2"/>
      <c r="B61" s="1"/>
      <c r="C61" s="1"/>
      <c r="D61" s="1"/>
      <c r="E61" s="1"/>
      <c r="F61" s="1"/>
      <c r="G61" s="1"/>
      <c r="H61" s="1"/>
      <c r="I61" s="3"/>
      <c r="J61" s="1"/>
    </row>
    <row r="62" ht="15" customHeight="1">
      <c r="A62" s="4" t="s">
        <v>0</v>
      </c>
      <c r="B62" s="5"/>
      <c r="C62" s="6"/>
      <c r="D62" s="6"/>
      <c r="E62" s="6"/>
      <c r="F62" s="6"/>
      <c r="G62" s="7"/>
      <c r="H62" s="8" t="s">
        <v>1</v>
      </c>
      <c r="I62" s="9"/>
      <c r="J62" s="1"/>
    </row>
    <row r="63" ht="15" customHeight="1">
      <c r="A63" s="10" t="s">
        <v>2</v>
      </c>
      <c r="B63" s="11"/>
      <c r="C63" s="12"/>
      <c r="D63" s="12"/>
      <c r="E63" s="12"/>
      <c r="F63" s="12"/>
      <c r="G63" s="13"/>
      <c r="H63" s="14" t="s">
        <v>3</v>
      </c>
      <c r="I63" s="15"/>
      <c r="J63" s="1"/>
      <c r="K63" s="1"/>
    </row>
    <row r="64" ht="48" customHeight="1">
      <c r="A64" s="34" t="s">
        <v>4</v>
      </c>
      <c r="B64" s="35" t="s">
        <v>34</v>
      </c>
      <c r="C64" s="36"/>
      <c r="D64" s="36"/>
      <c r="E64" s="36"/>
      <c r="F64" s="36"/>
      <c r="G64" s="37"/>
      <c r="H64" s="38" t="s">
        <v>6</v>
      </c>
      <c r="I64" s="54" t="e">
        <f>SUM(H66:H70)</f>
        <v>#REF!</v>
      </c>
      <c r="J64" s="1"/>
      <c r="K64" s="1"/>
    </row>
    <row r="65" ht="15" customHeight="1">
      <c r="A65" s="22" t="s">
        <v>7</v>
      </c>
      <c r="B65" s="23" t="s">
        <v>8</v>
      </c>
      <c r="C65" s="24" t="s">
        <v>9</v>
      </c>
      <c r="D65" s="24" t="s">
        <v>10</v>
      </c>
      <c r="E65" s="24" t="s">
        <v>11</v>
      </c>
      <c r="F65" s="24" t="s">
        <v>12</v>
      </c>
      <c r="G65" s="24" t="s">
        <v>13</v>
      </c>
      <c r="H65" s="25" t="s">
        <v>14</v>
      </c>
      <c r="I65" s="26" t="s">
        <v>15</v>
      </c>
      <c r="J65" s="1"/>
    </row>
    <row r="66" ht="37.5" customHeight="1">
      <c r="A66" s="69"/>
      <c r="B66" s="70"/>
      <c r="C66" s="71" t="s">
        <v>18</v>
      </c>
      <c r="D66" s="71"/>
      <c r="E66" s="71"/>
      <c r="F66" s="71"/>
      <c r="G66" s="71"/>
      <c r="H66" s="72">
        <f>2.2*G66+0.15</f>
        <v>0.14999999999999999</v>
      </c>
      <c r="I66" s="73"/>
      <c r="J66" s="1"/>
      <c r="P66" s="1" t="s">
        <v>35</v>
      </c>
    </row>
    <row r="67" ht="38.25" customHeight="1">
      <c r="A67" s="69"/>
      <c r="B67" s="70"/>
      <c r="C67" s="71" t="s">
        <v>18</v>
      </c>
      <c r="D67" s="71"/>
      <c r="E67" s="71"/>
      <c r="F67" s="71"/>
      <c r="G67" s="71"/>
      <c r="H67" s="79" t="e">
        <f>1.86+#REF!</f>
        <v>#REF!</v>
      </c>
      <c r="I67" s="73"/>
      <c r="J67" s="1"/>
    </row>
    <row r="68" ht="39.75" customHeight="1">
      <c r="A68" s="69"/>
      <c r="B68" s="70"/>
      <c r="C68" s="71" t="s">
        <v>18</v>
      </c>
      <c r="D68" s="71"/>
      <c r="E68" s="71"/>
      <c r="F68" s="71"/>
      <c r="G68" s="71"/>
      <c r="H68" s="72">
        <f t="shared" ref="H68:H131" si="1">PRODUCT(D68:G68)</f>
        <v>0</v>
      </c>
      <c r="I68" s="73"/>
      <c r="J68" s="1"/>
    </row>
    <row r="69" ht="36" customHeight="1">
      <c r="A69" s="69"/>
      <c r="B69" s="70"/>
      <c r="C69" s="71" t="s">
        <v>18</v>
      </c>
      <c r="D69" s="71"/>
      <c r="E69" s="71"/>
      <c r="F69" s="71"/>
      <c r="G69" s="71"/>
      <c r="H69" s="72">
        <f t="shared" si="1"/>
        <v>0</v>
      </c>
      <c r="I69" s="73"/>
      <c r="J69" s="1"/>
    </row>
    <row r="70" ht="38.25" customHeight="1">
      <c r="A70" s="74"/>
      <c r="B70" s="75"/>
      <c r="C70" s="31" t="s">
        <v>18</v>
      </c>
      <c r="D70" s="31"/>
      <c r="E70" s="31"/>
      <c r="F70" s="31"/>
      <c r="G70" s="31"/>
      <c r="H70" s="32">
        <f t="shared" si="1"/>
        <v>0</v>
      </c>
      <c r="I70" s="33"/>
      <c r="J70" s="1"/>
      <c r="K70" s="1"/>
    </row>
    <row r="71" ht="14.25">
      <c r="A71" s="2"/>
      <c r="B71" s="1"/>
      <c r="C71" s="1"/>
      <c r="D71" s="1"/>
      <c r="E71" s="1"/>
      <c r="F71" s="1"/>
      <c r="G71" s="1"/>
      <c r="H71" s="1"/>
      <c r="I71" s="3"/>
      <c r="J71" s="1"/>
    </row>
    <row r="72" ht="14.25">
      <c r="A72" s="2"/>
      <c r="B72" s="1"/>
      <c r="C72" s="1"/>
      <c r="D72" s="1"/>
      <c r="E72" s="1"/>
      <c r="F72" s="1"/>
      <c r="G72" s="1"/>
      <c r="H72" s="1"/>
      <c r="I72" s="3"/>
      <c r="J72" s="1"/>
    </row>
    <row r="73" ht="15" customHeight="1">
      <c r="A73" s="4" t="s">
        <v>0</v>
      </c>
      <c r="B73" s="5"/>
      <c r="C73" s="6"/>
      <c r="D73" s="6"/>
      <c r="E73" s="6"/>
      <c r="F73" s="6"/>
      <c r="G73" s="7"/>
      <c r="H73" s="8" t="s">
        <v>1</v>
      </c>
      <c r="I73" s="9"/>
      <c r="J73" s="1"/>
    </row>
    <row r="74" ht="15" customHeight="1">
      <c r="A74" s="10" t="s">
        <v>2</v>
      </c>
      <c r="B74" s="11"/>
      <c r="C74" s="12"/>
      <c r="D74" s="12"/>
      <c r="E74" s="12"/>
      <c r="F74" s="12"/>
      <c r="G74" s="13"/>
      <c r="H74" s="14" t="s">
        <v>3</v>
      </c>
      <c r="I74" s="15"/>
      <c r="J74" s="1"/>
    </row>
    <row r="75" ht="46.5" customHeight="1">
      <c r="A75" s="34" t="s">
        <v>4</v>
      </c>
      <c r="B75" s="35" t="s">
        <v>36</v>
      </c>
      <c r="C75" s="36"/>
      <c r="D75" s="36"/>
      <c r="E75" s="36"/>
      <c r="F75" s="36"/>
      <c r="G75" s="37"/>
      <c r="H75" s="38" t="s">
        <v>6</v>
      </c>
      <c r="I75" s="54">
        <f>SUM(H77:H79)</f>
        <v>10.300000000000001</v>
      </c>
      <c r="J75" s="1"/>
      <c r="K75" s="1"/>
    </row>
    <row r="76" ht="15" customHeight="1">
      <c r="A76" s="22" t="s">
        <v>7</v>
      </c>
      <c r="B76" s="23" t="s">
        <v>8</v>
      </c>
      <c r="C76" s="24" t="s">
        <v>9</v>
      </c>
      <c r="D76" s="24" t="s">
        <v>10</v>
      </c>
      <c r="E76" s="24" t="s">
        <v>11</v>
      </c>
      <c r="F76" s="24" t="s">
        <v>12</v>
      </c>
      <c r="G76" s="24" t="s">
        <v>13</v>
      </c>
      <c r="H76" s="25" t="s">
        <v>14</v>
      </c>
      <c r="I76" s="26" t="s">
        <v>15</v>
      </c>
      <c r="J76" s="1"/>
    </row>
    <row r="77" ht="78.75" customHeight="1">
      <c r="A77" s="69">
        <v>17</v>
      </c>
      <c r="B77" s="70" t="s">
        <v>16</v>
      </c>
      <c r="C77" s="71" t="s">
        <v>32</v>
      </c>
      <c r="D77" s="71">
        <v>5</v>
      </c>
      <c r="E77" s="71"/>
      <c r="F77" s="71"/>
      <c r="G77" s="71"/>
      <c r="H77" s="72">
        <f t="shared" si="1"/>
        <v>5</v>
      </c>
      <c r="I77" s="73"/>
      <c r="J77" s="1"/>
    </row>
    <row r="78" ht="69" customHeight="1">
      <c r="A78" s="69" t="s">
        <v>28</v>
      </c>
      <c r="B78" s="70" t="s">
        <v>20</v>
      </c>
      <c r="C78" s="71" t="s">
        <v>32</v>
      </c>
      <c r="D78" s="71">
        <v>2.6499999999999999</v>
      </c>
      <c r="E78" s="71"/>
      <c r="F78" s="71"/>
      <c r="G78" s="71"/>
      <c r="H78" s="72">
        <f t="shared" si="1"/>
        <v>2.6499999999999999</v>
      </c>
      <c r="I78" s="73"/>
      <c r="J78" s="1"/>
    </row>
    <row r="79" ht="67.5" customHeight="1">
      <c r="A79" s="74" t="s">
        <v>29</v>
      </c>
      <c r="B79" s="75" t="s">
        <v>20</v>
      </c>
      <c r="C79" s="31" t="s">
        <v>32</v>
      </c>
      <c r="D79" s="31">
        <v>2.6499999999999999</v>
      </c>
      <c r="E79" s="31"/>
      <c r="F79" s="31"/>
      <c r="G79" s="31"/>
      <c r="H79" s="32">
        <f t="shared" si="1"/>
        <v>2.6499999999999999</v>
      </c>
      <c r="I79" s="33"/>
      <c r="J79" s="1"/>
    </row>
    <row r="82" ht="15" customHeight="1">
      <c r="A82" s="4" t="s">
        <v>0</v>
      </c>
      <c r="B82" s="5"/>
      <c r="C82" s="6"/>
      <c r="D82" s="6"/>
      <c r="E82" s="6"/>
      <c r="F82" s="6"/>
      <c r="G82" s="7"/>
      <c r="H82" s="8" t="s">
        <v>1</v>
      </c>
      <c r="I82" s="9"/>
      <c r="J82" s="80"/>
      <c r="K82" s="80"/>
    </row>
    <row r="83" ht="15" customHeight="1">
      <c r="A83" s="10" t="s">
        <v>2</v>
      </c>
      <c r="B83" s="11"/>
      <c r="C83" s="12"/>
      <c r="D83" s="12"/>
      <c r="E83" s="12"/>
      <c r="F83" s="12"/>
      <c r="G83" s="13"/>
      <c r="H83" s="14" t="s">
        <v>3</v>
      </c>
      <c r="I83" s="15"/>
      <c r="J83" s="80"/>
      <c r="K83" s="80"/>
    </row>
    <row r="84" ht="45" customHeight="1">
      <c r="A84" s="34" t="s">
        <v>4</v>
      </c>
      <c r="B84" s="35" t="s">
        <v>37</v>
      </c>
      <c r="C84" s="36"/>
      <c r="D84" s="36"/>
      <c r="E84" s="36"/>
      <c r="F84" s="36"/>
      <c r="G84" s="37"/>
      <c r="H84" s="38" t="s">
        <v>6</v>
      </c>
      <c r="I84" s="54">
        <f>SUM(H86:H94)</f>
        <v>0</v>
      </c>
      <c r="J84" s="1"/>
      <c r="K84" s="1"/>
    </row>
    <row r="85" ht="15" customHeight="1">
      <c r="A85" s="81" t="s">
        <v>7</v>
      </c>
      <c r="B85" s="82" t="s">
        <v>8</v>
      </c>
      <c r="C85" s="83" t="s">
        <v>9</v>
      </c>
      <c r="D85" s="83" t="s">
        <v>10</v>
      </c>
      <c r="E85" s="83" t="s">
        <v>11</v>
      </c>
      <c r="F85" s="83" t="s">
        <v>12</v>
      </c>
      <c r="G85" s="83" t="s">
        <v>13</v>
      </c>
      <c r="H85" s="84" t="s">
        <v>14</v>
      </c>
      <c r="I85" s="85" t="s">
        <v>15</v>
      </c>
      <c r="J85" s="1"/>
    </row>
    <row r="86" ht="14.25" customHeight="1">
      <c r="A86" s="69"/>
      <c r="B86" s="70"/>
      <c r="C86" s="71" t="s">
        <v>21</v>
      </c>
      <c r="D86" s="71"/>
      <c r="E86" s="71"/>
      <c r="F86" s="71"/>
      <c r="G86" s="71"/>
      <c r="H86" s="72">
        <f t="shared" si="1"/>
        <v>0</v>
      </c>
      <c r="I86" s="73"/>
      <c r="J86" s="1"/>
    </row>
    <row r="87" ht="15" customHeight="1">
      <c r="A87" s="69"/>
      <c r="B87" s="70"/>
      <c r="C87" s="71" t="s">
        <v>21</v>
      </c>
      <c r="D87" s="71"/>
      <c r="E87" s="71"/>
      <c r="F87" s="71"/>
      <c r="G87" s="71"/>
      <c r="H87" s="72">
        <f t="shared" si="1"/>
        <v>0</v>
      </c>
      <c r="I87" s="73"/>
      <c r="J87" s="1"/>
    </row>
    <row r="88" ht="15" customHeight="1">
      <c r="A88" s="69"/>
      <c r="B88" s="70"/>
      <c r="C88" s="71" t="s">
        <v>21</v>
      </c>
      <c r="D88" s="71"/>
      <c r="E88" s="71"/>
      <c r="F88" s="71"/>
      <c r="G88" s="71"/>
      <c r="H88" s="72">
        <f t="shared" si="1"/>
        <v>0</v>
      </c>
      <c r="I88" s="73"/>
      <c r="J88" s="1"/>
    </row>
    <row r="89" ht="15" customHeight="1">
      <c r="A89" s="69"/>
      <c r="B89" s="70"/>
      <c r="C89" s="71" t="s">
        <v>21</v>
      </c>
      <c r="D89" s="71"/>
      <c r="E89" s="71"/>
      <c r="F89" s="71"/>
      <c r="G89" s="71"/>
      <c r="H89" s="72">
        <f t="shared" si="1"/>
        <v>0</v>
      </c>
      <c r="I89" s="86"/>
      <c r="J89" s="1"/>
    </row>
    <row r="90" ht="15" customHeight="1">
      <c r="A90" s="69"/>
      <c r="B90" s="70"/>
      <c r="C90" s="71" t="s">
        <v>21</v>
      </c>
      <c r="D90" s="71"/>
      <c r="E90" s="71"/>
      <c r="F90" s="71"/>
      <c r="G90" s="71"/>
      <c r="H90" s="72">
        <f t="shared" si="1"/>
        <v>0</v>
      </c>
      <c r="I90" s="73"/>
      <c r="J90" s="1"/>
    </row>
    <row r="91" ht="15" customHeight="1">
      <c r="A91" s="69"/>
      <c r="B91" s="70"/>
      <c r="C91" s="71" t="s">
        <v>21</v>
      </c>
      <c r="D91" s="71"/>
      <c r="E91" s="71"/>
      <c r="F91" s="71"/>
      <c r="G91" s="71"/>
      <c r="H91" s="72">
        <f t="shared" si="1"/>
        <v>0</v>
      </c>
      <c r="I91" s="73"/>
      <c r="J91" s="1"/>
    </row>
    <row r="92" ht="15" customHeight="1">
      <c r="A92" s="69"/>
      <c r="B92" s="70"/>
      <c r="C92" s="71" t="s">
        <v>21</v>
      </c>
      <c r="D92" s="71"/>
      <c r="E92" s="71"/>
      <c r="F92" s="71"/>
      <c r="G92" s="71"/>
      <c r="H92" s="72">
        <f t="shared" si="1"/>
        <v>0</v>
      </c>
      <c r="I92" s="73"/>
      <c r="J92" s="1"/>
    </row>
    <row r="93" ht="15" customHeight="1">
      <c r="A93" s="69"/>
      <c r="B93" s="70"/>
      <c r="C93" s="71" t="s">
        <v>21</v>
      </c>
      <c r="D93" s="71"/>
      <c r="E93" s="71"/>
      <c r="F93" s="71"/>
      <c r="G93" s="71"/>
      <c r="H93" s="72">
        <f t="shared" si="1"/>
        <v>0</v>
      </c>
      <c r="I93" s="73"/>
      <c r="J93" s="1"/>
    </row>
    <row r="94" ht="15" customHeight="1">
      <c r="A94" s="74"/>
      <c r="B94" s="75"/>
      <c r="C94" s="31" t="s">
        <v>21</v>
      </c>
      <c r="D94" s="31"/>
      <c r="E94" s="31"/>
      <c r="F94" s="31"/>
      <c r="G94" s="31"/>
      <c r="H94" s="32">
        <f t="shared" si="1"/>
        <v>0</v>
      </c>
      <c r="I94" s="33"/>
      <c r="J94" s="1"/>
    </row>
    <row r="95" ht="15" customHeight="1">
      <c r="A95" s="3"/>
      <c r="B95" s="51"/>
      <c r="C95" s="52"/>
      <c r="D95" s="52"/>
      <c r="E95" s="52"/>
      <c r="F95" s="52"/>
      <c r="G95" s="52"/>
      <c r="H95" s="53"/>
      <c r="I95" s="3"/>
      <c r="J95" s="1"/>
    </row>
    <row r="96" ht="15" customHeight="1">
      <c r="A96" s="3"/>
      <c r="B96" s="51"/>
      <c r="C96" s="52"/>
      <c r="D96" s="52"/>
      <c r="E96" s="52"/>
      <c r="F96" s="52"/>
      <c r="G96" s="52"/>
      <c r="H96" s="53"/>
      <c r="I96" s="3"/>
      <c r="J96" s="1"/>
    </row>
    <row r="97" ht="15" customHeight="1">
      <c r="A97" s="4" t="s">
        <v>0</v>
      </c>
      <c r="B97" s="5"/>
      <c r="C97" s="6"/>
      <c r="D97" s="6"/>
      <c r="E97" s="6"/>
      <c r="F97" s="6"/>
      <c r="G97" s="7"/>
      <c r="H97" s="8" t="s">
        <v>1</v>
      </c>
      <c r="I97" s="9"/>
      <c r="J97" s="80"/>
      <c r="K97" s="80"/>
    </row>
    <row r="98" ht="15" customHeight="1">
      <c r="A98" s="10" t="s">
        <v>2</v>
      </c>
      <c r="B98" s="11"/>
      <c r="C98" s="12"/>
      <c r="D98" s="12"/>
      <c r="E98" s="12"/>
      <c r="F98" s="12"/>
      <c r="G98" s="13"/>
      <c r="H98" s="14" t="s">
        <v>3</v>
      </c>
      <c r="I98" s="15"/>
      <c r="J98" s="80"/>
      <c r="K98" s="80"/>
    </row>
    <row r="99" ht="33.75" customHeight="1">
      <c r="A99" s="34" t="s">
        <v>4</v>
      </c>
      <c r="B99" s="35" t="s">
        <v>38</v>
      </c>
      <c r="C99" s="36"/>
      <c r="D99" s="36"/>
      <c r="E99" s="36"/>
      <c r="F99" s="36"/>
      <c r="G99" s="37"/>
      <c r="H99" s="38" t="s">
        <v>6</v>
      </c>
      <c r="I99" s="39">
        <f>SUM(H101:H107)</f>
        <v>0</v>
      </c>
      <c r="J99" s="1"/>
      <c r="K99" s="1"/>
    </row>
    <row r="100" ht="15" customHeight="1">
      <c r="A100" s="22" t="s">
        <v>7</v>
      </c>
      <c r="B100" s="23" t="s">
        <v>8</v>
      </c>
      <c r="C100" s="24" t="s">
        <v>9</v>
      </c>
      <c r="D100" s="24" t="s">
        <v>10</v>
      </c>
      <c r="E100" s="24" t="s">
        <v>11</v>
      </c>
      <c r="F100" s="24" t="s">
        <v>12</v>
      </c>
      <c r="G100" s="24" t="s">
        <v>13</v>
      </c>
      <c r="H100" s="56" t="s">
        <v>14</v>
      </c>
      <c r="I100" s="26" t="s">
        <v>15</v>
      </c>
      <c r="J100" s="1"/>
    </row>
    <row r="101" ht="15" customHeight="1">
      <c r="A101" s="69"/>
      <c r="B101" s="70"/>
      <c r="C101" s="71"/>
      <c r="D101" s="71"/>
      <c r="E101" s="71"/>
      <c r="F101" s="71"/>
      <c r="G101" s="71"/>
      <c r="H101" s="72">
        <f t="shared" si="1"/>
        <v>0</v>
      </c>
      <c r="I101" s="73"/>
      <c r="J101" s="1"/>
    </row>
    <row r="102" ht="15" customHeight="1">
      <c r="A102" s="69"/>
      <c r="B102" s="70"/>
      <c r="C102" s="71"/>
      <c r="D102" s="71"/>
      <c r="E102" s="71"/>
      <c r="F102" s="71"/>
      <c r="G102" s="71"/>
      <c r="H102" s="72">
        <f t="shared" si="1"/>
        <v>0</v>
      </c>
      <c r="I102" s="73"/>
      <c r="J102" s="1"/>
    </row>
    <row r="103" ht="15" customHeight="1">
      <c r="A103" s="69"/>
      <c r="B103" s="70"/>
      <c r="C103" s="71"/>
      <c r="D103" s="71"/>
      <c r="E103" s="71"/>
      <c r="F103" s="71"/>
      <c r="G103" s="71"/>
      <c r="H103" s="72">
        <f t="shared" si="1"/>
        <v>0</v>
      </c>
      <c r="I103" s="73"/>
      <c r="J103" s="1"/>
    </row>
    <row r="104" ht="15" customHeight="1">
      <c r="A104" s="69"/>
      <c r="B104" s="70"/>
      <c r="C104" s="71"/>
      <c r="D104" s="71"/>
      <c r="E104" s="71"/>
      <c r="F104" s="71"/>
      <c r="G104" s="71"/>
      <c r="H104" s="72">
        <f t="shared" si="1"/>
        <v>0</v>
      </c>
      <c r="I104" s="86"/>
      <c r="J104" s="1"/>
    </row>
    <row r="105" ht="15" customHeight="1">
      <c r="A105" s="69"/>
      <c r="B105" s="70"/>
      <c r="C105" s="71"/>
      <c r="D105" s="71"/>
      <c r="E105" s="71"/>
      <c r="F105" s="71"/>
      <c r="G105" s="71"/>
      <c r="H105" s="72">
        <f t="shared" si="1"/>
        <v>0</v>
      </c>
      <c r="I105" s="73"/>
      <c r="J105" s="1"/>
    </row>
    <row r="106" ht="15" customHeight="1">
      <c r="A106" s="69"/>
      <c r="B106" s="70"/>
      <c r="C106" s="71"/>
      <c r="D106" s="71"/>
      <c r="E106" s="71"/>
      <c r="F106" s="71"/>
      <c r="G106" s="71"/>
      <c r="H106" s="72">
        <f t="shared" si="1"/>
        <v>0</v>
      </c>
      <c r="I106" s="73"/>
      <c r="J106" s="1"/>
    </row>
    <row r="107" ht="15" customHeight="1">
      <c r="A107" s="74"/>
      <c r="B107" s="75"/>
      <c r="C107" s="31"/>
      <c r="D107" s="31"/>
      <c r="E107" s="31"/>
      <c r="F107" s="31"/>
      <c r="G107" s="31"/>
      <c r="H107" s="32">
        <f t="shared" si="1"/>
        <v>0</v>
      </c>
      <c r="I107" s="33"/>
      <c r="J107" s="1"/>
    </row>
    <row r="110" ht="15" customHeight="1">
      <c r="A110" s="4" t="s">
        <v>0</v>
      </c>
      <c r="B110" s="5"/>
      <c r="C110" s="6"/>
      <c r="D110" s="6"/>
      <c r="E110" s="6"/>
      <c r="F110" s="6"/>
      <c r="G110" s="7"/>
      <c r="H110" s="8" t="s">
        <v>1</v>
      </c>
      <c r="I110" s="9"/>
      <c r="J110" s="1"/>
    </row>
    <row r="111" ht="15" customHeight="1">
      <c r="A111" s="10" t="s">
        <v>2</v>
      </c>
      <c r="B111" s="11"/>
      <c r="C111" s="12"/>
      <c r="D111" s="12"/>
      <c r="E111" s="12"/>
      <c r="F111" s="12"/>
      <c r="G111" s="13"/>
      <c r="H111" s="14" t="s">
        <v>3</v>
      </c>
      <c r="I111" s="15"/>
      <c r="J111" s="1"/>
    </row>
    <row r="112" ht="51" customHeight="1">
      <c r="A112" s="34" t="s">
        <v>4</v>
      </c>
      <c r="B112" s="35" t="s">
        <v>39</v>
      </c>
      <c r="C112" s="36"/>
      <c r="D112" s="36"/>
      <c r="E112" s="36"/>
      <c r="F112" s="36"/>
      <c r="G112" s="37"/>
      <c r="H112" s="38" t="s">
        <v>6</v>
      </c>
      <c r="I112" s="39">
        <f>SUM(H114:H115)</f>
        <v>11.130000000000001</v>
      </c>
      <c r="J112" s="1"/>
      <c r="K112" s="1"/>
    </row>
    <row r="113" s="1" customFormat="1" ht="15" customHeight="1">
      <c r="A113" s="67" t="s">
        <v>7</v>
      </c>
      <c r="B113" s="68" t="s">
        <v>8</v>
      </c>
      <c r="C113" s="24" t="s">
        <v>9</v>
      </c>
      <c r="D113" s="24" t="s">
        <v>10</v>
      </c>
      <c r="E113" s="24" t="s">
        <v>11</v>
      </c>
      <c r="F113" s="24" t="s">
        <v>12</v>
      </c>
      <c r="G113" s="24" t="s">
        <v>13</v>
      </c>
      <c r="H113" s="25" t="s">
        <v>14</v>
      </c>
      <c r="I113" s="26" t="s">
        <v>15</v>
      </c>
      <c r="J113" s="1"/>
    </row>
    <row r="114" ht="67.5" customHeight="1">
      <c r="A114" s="69" t="s">
        <v>28</v>
      </c>
      <c r="B114" s="70" t="s">
        <v>20</v>
      </c>
      <c r="C114" s="71"/>
      <c r="D114" s="71">
        <v>2.6499999999999999</v>
      </c>
      <c r="E114" s="71"/>
      <c r="F114" s="71">
        <v>2.1000000000000001</v>
      </c>
      <c r="G114" s="71"/>
      <c r="H114" s="72">
        <f t="shared" si="1"/>
        <v>5.5650000000000004</v>
      </c>
      <c r="I114" s="73"/>
      <c r="J114" s="1"/>
    </row>
    <row r="115" ht="69" customHeight="1">
      <c r="A115" s="74" t="s">
        <v>29</v>
      </c>
      <c r="B115" s="75" t="s">
        <v>20</v>
      </c>
      <c r="C115" s="31"/>
      <c r="D115" s="31">
        <v>2.6499999999999999</v>
      </c>
      <c r="E115" s="31"/>
      <c r="F115" s="31">
        <v>2.1000000000000001</v>
      </c>
      <c r="G115" s="31"/>
      <c r="H115" s="32">
        <f t="shared" si="1"/>
        <v>5.5650000000000004</v>
      </c>
      <c r="I115" s="33"/>
      <c r="J115" s="1"/>
    </row>
    <row r="117" ht="15" customHeight="1">
      <c r="A117" s="4" t="s">
        <v>0</v>
      </c>
      <c r="B117" s="5"/>
      <c r="C117" s="6"/>
      <c r="D117" s="6"/>
      <c r="E117" s="6"/>
      <c r="F117" s="6"/>
      <c r="G117" s="7"/>
      <c r="H117" s="8" t="s">
        <v>1</v>
      </c>
      <c r="I117" s="9"/>
      <c r="J117" s="1"/>
    </row>
    <row r="118" ht="15" customHeight="1">
      <c r="A118" s="10" t="s">
        <v>2</v>
      </c>
      <c r="B118" s="11" t="s">
        <v>40</v>
      </c>
      <c r="C118" s="12"/>
      <c r="D118" s="12"/>
      <c r="E118" s="12"/>
      <c r="F118" s="12"/>
      <c r="G118" s="13"/>
      <c r="H118" s="14" t="s">
        <v>3</v>
      </c>
      <c r="I118" s="15"/>
      <c r="J118" s="1"/>
    </row>
    <row r="119" ht="61.5" customHeight="1">
      <c r="A119" s="34" t="s">
        <v>4</v>
      </c>
      <c r="B119" s="35" t="s">
        <v>39</v>
      </c>
      <c r="C119" s="36"/>
      <c r="D119" s="36"/>
      <c r="E119" s="36"/>
      <c r="F119" s="36"/>
      <c r="G119" s="37"/>
      <c r="H119" s="38" t="s">
        <v>6</v>
      </c>
      <c r="I119" s="39">
        <f>SUM(H121:H123)</f>
        <v>16.065000000000001</v>
      </c>
      <c r="J119" s="1"/>
      <c r="K119" s="1"/>
    </row>
    <row r="120" ht="15" customHeight="1">
      <c r="A120" s="67" t="s">
        <v>7</v>
      </c>
      <c r="B120" s="68" t="s">
        <v>8</v>
      </c>
      <c r="C120" s="24" t="s">
        <v>9</v>
      </c>
      <c r="D120" s="24" t="s">
        <v>10</v>
      </c>
      <c r="E120" s="24" t="s">
        <v>11</v>
      </c>
      <c r="F120" s="24" t="s">
        <v>12</v>
      </c>
      <c r="G120" s="24" t="s">
        <v>13</v>
      </c>
      <c r="H120" s="25" t="s">
        <v>14</v>
      </c>
      <c r="I120" s="26" t="s">
        <v>15</v>
      </c>
      <c r="J120" s="1"/>
    </row>
    <row r="121" ht="54.75" customHeight="1">
      <c r="A121" s="69">
        <v>16</v>
      </c>
      <c r="B121" s="77" t="s">
        <v>41</v>
      </c>
      <c r="C121" s="77"/>
      <c r="D121" s="77">
        <v>2.02</v>
      </c>
      <c r="E121" s="77"/>
      <c r="F121" s="77">
        <v>2.1000000000000001</v>
      </c>
      <c r="G121" s="77"/>
      <c r="H121" s="72">
        <f t="shared" si="1"/>
        <v>4.242</v>
      </c>
      <c r="I121" s="59"/>
      <c r="J121" s="1"/>
    </row>
    <row r="122" ht="60.75" customHeight="1">
      <c r="A122" s="69" t="s">
        <v>28</v>
      </c>
      <c r="B122" s="70" t="s">
        <v>42</v>
      </c>
      <c r="C122" s="71"/>
      <c r="D122" s="71">
        <v>4.0199999999999996</v>
      </c>
      <c r="E122" s="71"/>
      <c r="F122" s="71">
        <v>2.1000000000000001</v>
      </c>
      <c r="G122" s="71"/>
      <c r="H122" s="72">
        <f t="shared" si="1"/>
        <v>8.4420000000000002</v>
      </c>
      <c r="I122" s="73"/>
      <c r="J122" s="1"/>
    </row>
    <row r="123" ht="64.5" customHeight="1">
      <c r="A123" s="74" t="s">
        <v>29</v>
      </c>
      <c r="B123" s="75" t="s">
        <v>20</v>
      </c>
      <c r="C123" s="31"/>
      <c r="D123" s="31">
        <v>1.6100000000000001</v>
      </c>
      <c r="E123" s="31"/>
      <c r="F123" s="31">
        <v>2.1000000000000001</v>
      </c>
      <c r="G123" s="31"/>
      <c r="H123" s="32">
        <f t="shared" si="1"/>
        <v>3.3810000000000002</v>
      </c>
      <c r="I123" s="33"/>
      <c r="J123" s="1"/>
    </row>
    <row r="126" ht="15" customHeight="1">
      <c r="A126" s="4" t="s">
        <v>0</v>
      </c>
      <c r="B126" s="5"/>
      <c r="C126" s="6"/>
      <c r="D126" s="6"/>
      <c r="E126" s="6"/>
      <c r="F126" s="6"/>
      <c r="G126" s="7"/>
      <c r="H126" s="8" t="s">
        <v>1</v>
      </c>
      <c r="I126" s="9"/>
      <c r="J126" s="1"/>
    </row>
    <row r="127" ht="15" customHeight="1">
      <c r="A127" s="10" t="s">
        <v>2</v>
      </c>
      <c r="B127" s="11" t="s">
        <v>40</v>
      </c>
      <c r="C127" s="12"/>
      <c r="D127" s="12"/>
      <c r="E127" s="12"/>
      <c r="F127" s="12"/>
      <c r="G127" s="13"/>
      <c r="H127" s="14" t="s">
        <v>3</v>
      </c>
      <c r="I127" s="15"/>
      <c r="J127" s="1"/>
    </row>
    <row r="128" ht="42.75" customHeight="1">
      <c r="A128" s="34" t="s">
        <v>4</v>
      </c>
      <c r="B128" s="35" t="s">
        <v>43</v>
      </c>
      <c r="C128" s="36"/>
      <c r="D128" s="36"/>
      <c r="E128" s="36"/>
      <c r="F128" s="36"/>
      <c r="G128" s="37"/>
      <c r="H128" s="38" t="s">
        <v>6</v>
      </c>
      <c r="I128" s="39">
        <f>SUM(H130:H133)</f>
        <v>33.549999999999997</v>
      </c>
      <c r="J128" s="1"/>
      <c r="K128" s="1"/>
    </row>
    <row r="129" ht="15" customHeight="1">
      <c r="A129" s="67" t="s">
        <v>7</v>
      </c>
      <c r="B129" s="68" t="s">
        <v>8</v>
      </c>
      <c r="C129" s="24" t="s">
        <v>9</v>
      </c>
      <c r="D129" s="24" t="s">
        <v>10</v>
      </c>
      <c r="E129" s="24" t="s">
        <v>11</v>
      </c>
      <c r="F129" s="24" t="s">
        <v>12</v>
      </c>
      <c r="G129" s="24" t="s">
        <v>13</v>
      </c>
      <c r="H129" s="25" t="s">
        <v>14</v>
      </c>
      <c r="I129" s="26" t="s">
        <v>15</v>
      </c>
      <c r="J129" s="1"/>
    </row>
    <row r="130" ht="34.5" customHeight="1">
      <c r="A130" s="69" t="s">
        <v>28</v>
      </c>
      <c r="B130" s="77" t="s">
        <v>44</v>
      </c>
      <c r="C130" s="77"/>
      <c r="D130" s="77"/>
      <c r="E130" s="77"/>
      <c r="F130" s="77">
        <v>3.0499999999999998</v>
      </c>
      <c r="G130" s="77">
        <v>3</v>
      </c>
      <c r="H130" s="72">
        <f t="shared" si="1"/>
        <v>9.1499999999999986</v>
      </c>
      <c r="I130" s="59"/>
      <c r="J130" s="1"/>
    </row>
    <row r="131" ht="34.5" customHeight="1">
      <c r="A131" s="69" t="s">
        <v>45</v>
      </c>
      <c r="B131" s="70" t="s">
        <v>46</v>
      </c>
      <c r="C131" s="71"/>
      <c r="D131" s="71"/>
      <c r="E131" s="71"/>
      <c r="F131" s="71">
        <v>3.0499999999999998</v>
      </c>
      <c r="G131" s="71">
        <v>3</v>
      </c>
      <c r="H131" s="72">
        <f t="shared" si="1"/>
        <v>9.1499999999999986</v>
      </c>
      <c r="I131" s="73"/>
      <c r="J131" s="1"/>
    </row>
    <row r="132" ht="30" customHeight="1">
      <c r="A132" s="69" t="s">
        <v>47</v>
      </c>
      <c r="B132" s="70" t="s">
        <v>46</v>
      </c>
      <c r="C132" s="71"/>
      <c r="D132" s="71"/>
      <c r="E132" s="71"/>
      <c r="F132" s="71">
        <v>3.0499999999999998</v>
      </c>
      <c r="G132" s="71">
        <v>3</v>
      </c>
      <c r="H132" s="72">
        <f t="shared" ref="H132:H147" si="2">PRODUCT(D132:G132)</f>
        <v>9.1499999999999986</v>
      </c>
      <c r="I132" s="73"/>
      <c r="J132" s="1"/>
    </row>
    <row r="133" ht="32.25" customHeight="1">
      <c r="A133" s="74" t="s">
        <v>29</v>
      </c>
      <c r="B133" s="75" t="s">
        <v>48</v>
      </c>
      <c r="C133" s="31"/>
      <c r="D133" s="31"/>
      <c r="E133" s="31"/>
      <c r="F133" s="31">
        <v>3.0499999999999998</v>
      </c>
      <c r="G133" s="31">
        <v>2</v>
      </c>
      <c r="H133" s="32">
        <f t="shared" si="2"/>
        <v>6.0999999999999996</v>
      </c>
      <c r="I133" s="87"/>
      <c r="J133" s="1"/>
    </row>
    <row r="136" ht="15" customHeight="1">
      <c r="A136" s="88" t="s">
        <v>0</v>
      </c>
      <c r="B136" s="89"/>
      <c r="C136" s="90"/>
      <c r="D136" s="90"/>
      <c r="E136" s="90"/>
      <c r="F136" s="90"/>
      <c r="G136" s="90"/>
      <c r="H136" s="8" t="s">
        <v>1</v>
      </c>
      <c r="I136" s="9"/>
      <c r="J136" s="1"/>
    </row>
    <row r="137" ht="15" customHeight="1">
      <c r="A137" s="88" t="s">
        <v>2</v>
      </c>
      <c r="B137" s="89"/>
      <c r="C137" s="90"/>
      <c r="D137" s="90"/>
      <c r="E137" s="90"/>
      <c r="F137" s="90"/>
      <c r="G137" s="90"/>
      <c r="H137" s="14" t="s">
        <v>3</v>
      </c>
      <c r="I137" s="15"/>
      <c r="J137" s="1"/>
    </row>
    <row r="138" ht="48" customHeight="1">
      <c r="A138" s="91" t="s">
        <v>4</v>
      </c>
      <c r="B138" s="92" t="s">
        <v>49</v>
      </c>
      <c r="C138" s="93"/>
      <c r="D138" s="93"/>
      <c r="E138" s="93"/>
      <c r="F138" s="93"/>
      <c r="G138" s="93"/>
      <c r="H138" s="94" t="s">
        <v>6</v>
      </c>
      <c r="I138" s="3">
        <f>SUM(H140:H140)</f>
        <v>9.1499999999999986</v>
      </c>
      <c r="J138" s="1"/>
      <c r="K138" s="1"/>
    </row>
    <row r="139" ht="15" customHeight="1">
      <c r="A139" s="91" t="s">
        <v>7</v>
      </c>
      <c r="B139" s="95" t="s">
        <v>8</v>
      </c>
      <c r="C139" s="52" t="s">
        <v>9</v>
      </c>
      <c r="D139" s="52" t="s">
        <v>10</v>
      </c>
      <c r="E139" s="52" t="s">
        <v>11</v>
      </c>
      <c r="F139" s="52" t="s">
        <v>12</v>
      </c>
      <c r="G139" s="52" t="s">
        <v>13</v>
      </c>
      <c r="H139" s="96" t="s">
        <v>14</v>
      </c>
      <c r="I139" s="52" t="s">
        <v>15</v>
      </c>
      <c r="J139" s="1"/>
    </row>
    <row r="140" ht="188.25" customHeight="1">
      <c r="A140" s="77"/>
      <c r="B140" s="70"/>
      <c r="C140" s="71"/>
      <c r="D140" s="71"/>
      <c r="E140" s="71"/>
      <c r="F140" s="71">
        <v>3.0499999999999998</v>
      </c>
      <c r="G140" s="71">
        <v>3</v>
      </c>
      <c r="H140" s="72">
        <f t="shared" si="2"/>
        <v>9.1499999999999986</v>
      </c>
      <c r="I140" s="78"/>
      <c r="J140" s="1"/>
    </row>
    <row r="141" ht="15" customHeight="1">
      <c r="A141" s="3"/>
      <c r="B141" s="51"/>
      <c r="C141" s="52"/>
      <c r="D141" s="52"/>
      <c r="E141" s="52"/>
      <c r="F141" s="52"/>
      <c r="G141" s="52"/>
      <c r="H141" s="53"/>
      <c r="I141" s="3"/>
      <c r="J141" s="1"/>
    </row>
    <row r="142" ht="15" customHeight="1">
      <c r="A142" s="3"/>
      <c r="B142" s="51"/>
      <c r="C142" s="52"/>
      <c r="D142" s="52"/>
      <c r="E142" s="52"/>
      <c r="F142" s="52"/>
      <c r="G142" s="52"/>
      <c r="H142" s="53"/>
      <c r="I142" s="3"/>
      <c r="J142" s="1"/>
    </row>
    <row r="143" ht="15" customHeight="1">
      <c r="A143" s="88" t="s">
        <v>0</v>
      </c>
      <c r="B143" s="89"/>
      <c r="C143" s="90"/>
      <c r="D143" s="90"/>
      <c r="E143" s="90"/>
      <c r="F143" s="90"/>
      <c r="G143" s="90"/>
      <c r="H143" s="8" t="s">
        <v>1</v>
      </c>
      <c r="I143" s="9"/>
      <c r="J143" s="1"/>
    </row>
    <row r="144" ht="15" customHeight="1">
      <c r="A144" s="88" t="s">
        <v>2</v>
      </c>
      <c r="B144" s="89"/>
      <c r="C144" s="90"/>
      <c r="D144" s="90"/>
      <c r="E144" s="90"/>
      <c r="F144" s="90"/>
      <c r="G144" s="90"/>
      <c r="H144" s="14" t="s">
        <v>3</v>
      </c>
      <c r="I144" s="15"/>
      <c r="J144" s="1"/>
    </row>
    <row r="145" ht="48" customHeight="1">
      <c r="A145" s="91" t="s">
        <v>4</v>
      </c>
      <c r="B145" s="92" t="s">
        <v>50</v>
      </c>
      <c r="C145" s="93"/>
      <c r="D145" s="93"/>
      <c r="E145" s="93"/>
      <c r="F145" s="93"/>
      <c r="G145" s="93"/>
      <c r="H145" s="94" t="s">
        <v>6</v>
      </c>
      <c r="I145" s="3">
        <f>SUM(H147:H147)</f>
        <v>3.0499999999999998</v>
      </c>
      <c r="J145" s="1"/>
      <c r="K145" s="1"/>
    </row>
    <row r="146" ht="15" customHeight="1">
      <c r="A146" s="91" t="s">
        <v>7</v>
      </c>
      <c r="B146" s="95" t="s">
        <v>8</v>
      </c>
      <c r="C146" s="52" t="s">
        <v>9</v>
      </c>
      <c r="D146" s="52" t="s">
        <v>10</v>
      </c>
      <c r="E146" s="52" t="s">
        <v>11</v>
      </c>
      <c r="F146" s="52" t="s">
        <v>12</v>
      </c>
      <c r="G146" s="52" t="s">
        <v>13</v>
      </c>
      <c r="H146" s="96" t="s">
        <v>14</v>
      </c>
      <c r="I146" s="52" t="s">
        <v>15</v>
      </c>
      <c r="J146" s="1"/>
    </row>
    <row r="147" ht="188.25" customHeight="1">
      <c r="A147" s="78"/>
      <c r="B147" s="70"/>
      <c r="C147" s="71"/>
      <c r="D147" s="71"/>
      <c r="E147" s="71"/>
      <c r="F147" s="71">
        <v>3.0499999999999998</v>
      </c>
      <c r="G147" s="71">
        <v>1</v>
      </c>
      <c r="H147" s="72">
        <f t="shared" si="2"/>
        <v>3.0499999999999998</v>
      </c>
      <c r="I147" s="78"/>
      <c r="J147" s="1"/>
    </row>
    <row r="148" ht="15" customHeight="1">
      <c r="A148" s="3"/>
      <c r="B148" s="51"/>
      <c r="C148" s="52"/>
      <c r="D148" s="52"/>
      <c r="E148" s="52"/>
      <c r="F148" s="52"/>
      <c r="G148" s="52"/>
      <c r="H148" s="53"/>
      <c r="I148" s="3"/>
      <c r="J148" s="1"/>
    </row>
    <row r="149" ht="15" customHeight="1">
      <c r="A149" s="3"/>
      <c r="B149" s="51"/>
      <c r="C149" s="52"/>
      <c r="D149" s="52"/>
      <c r="E149" s="52"/>
      <c r="F149" s="52"/>
      <c r="G149" s="52"/>
      <c r="H149" s="53"/>
      <c r="I149" s="3"/>
      <c r="J149" s="1"/>
    </row>
    <row r="150" ht="15" customHeight="1">
      <c r="A150" s="88" t="s">
        <v>4</v>
      </c>
      <c r="B150" s="89"/>
      <c r="C150" s="90"/>
      <c r="D150" s="90"/>
      <c r="E150" s="90"/>
      <c r="F150" s="90"/>
      <c r="G150" s="90"/>
      <c r="H150" s="8" t="s">
        <v>1</v>
      </c>
      <c r="I150" s="9"/>
      <c r="J150" s="1"/>
    </row>
    <row r="151" ht="15" customHeight="1">
      <c r="A151" s="88" t="s">
        <v>2</v>
      </c>
      <c r="B151" s="89"/>
      <c r="C151" s="90"/>
      <c r="D151" s="90"/>
      <c r="E151" s="90"/>
      <c r="F151" s="90"/>
      <c r="G151" s="90"/>
      <c r="H151" s="14" t="s">
        <v>3</v>
      </c>
      <c r="I151" s="15"/>
      <c r="J151" s="1"/>
    </row>
    <row r="152" ht="33.75" customHeight="1">
      <c r="A152" s="91" t="s">
        <v>4</v>
      </c>
      <c r="B152" s="92" t="s">
        <v>51</v>
      </c>
      <c r="C152" s="93"/>
      <c r="D152" s="93"/>
      <c r="E152" s="93"/>
      <c r="F152" s="93"/>
      <c r="G152" s="93"/>
      <c r="H152" s="94" t="s">
        <v>6</v>
      </c>
      <c r="I152" s="3">
        <f>SUM(H154:H155)</f>
        <v>5.2999999999999998</v>
      </c>
      <c r="J152" s="1"/>
      <c r="K152" s="1"/>
    </row>
    <row r="153" ht="15" customHeight="1">
      <c r="A153" s="91" t="s">
        <v>7</v>
      </c>
      <c r="B153" s="95" t="s">
        <v>8</v>
      </c>
      <c r="C153" s="52" t="s">
        <v>9</v>
      </c>
      <c r="D153" s="52" t="s">
        <v>10</v>
      </c>
      <c r="E153" s="52" t="s">
        <v>11</v>
      </c>
      <c r="F153" s="52" t="s">
        <v>12</v>
      </c>
      <c r="G153" s="52" t="s">
        <v>13</v>
      </c>
      <c r="H153" s="96" t="s">
        <v>14</v>
      </c>
      <c r="I153" s="52" t="s">
        <v>15</v>
      </c>
      <c r="J153" s="1"/>
    </row>
    <row r="154" ht="87.75" customHeight="1">
      <c r="A154" s="78" t="s">
        <v>28</v>
      </c>
      <c r="B154" s="70" t="s">
        <v>20</v>
      </c>
      <c r="C154" s="71" t="s">
        <v>32</v>
      </c>
      <c r="D154" s="71">
        <v>2.6499999999999999</v>
      </c>
      <c r="E154" s="71"/>
      <c r="F154" s="71"/>
      <c r="G154" s="71"/>
      <c r="H154" s="72">
        <f t="shared" ref="H150:H213" si="3">PRODUCT(D154:G154)</f>
        <v>2.6499999999999999</v>
      </c>
      <c r="I154" s="78"/>
      <c r="J154" s="1"/>
    </row>
    <row r="155" ht="72" customHeight="1">
      <c r="A155" s="78" t="s">
        <v>29</v>
      </c>
      <c r="B155" s="70" t="s">
        <v>20</v>
      </c>
      <c r="C155" s="71" t="s">
        <v>32</v>
      </c>
      <c r="D155" s="71">
        <v>2.6499999999999999</v>
      </c>
      <c r="E155" s="71"/>
      <c r="F155" s="71"/>
      <c r="G155" s="71"/>
      <c r="H155" s="72">
        <f t="shared" si="3"/>
        <v>2.6499999999999999</v>
      </c>
      <c r="I155" s="78"/>
      <c r="J155" s="1"/>
    </row>
    <row r="156" ht="15" customHeight="1">
      <c r="A156" s="3"/>
      <c r="B156" s="51"/>
      <c r="C156" s="52"/>
      <c r="D156" s="52"/>
    </row>
    <row r="158" ht="15" customHeight="1">
      <c r="A158" s="88" t="s">
        <v>4</v>
      </c>
      <c r="B158" s="89"/>
      <c r="C158" s="90"/>
      <c r="D158" s="90"/>
      <c r="E158" s="90"/>
      <c r="F158" s="90"/>
      <c r="G158" s="90"/>
      <c r="H158" s="8" t="s">
        <v>1</v>
      </c>
      <c r="I158" s="9"/>
      <c r="J158" s="1"/>
    </row>
    <row r="159" ht="15" customHeight="1">
      <c r="A159" s="88" t="s">
        <v>2</v>
      </c>
      <c r="B159" s="89"/>
      <c r="C159" s="90"/>
      <c r="D159" s="90"/>
      <c r="E159" s="90"/>
      <c r="F159" s="90"/>
      <c r="G159" s="90"/>
      <c r="H159" s="14" t="s">
        <v>3</v>
      </c>
      <c r="I159" s="15"/>
      <c r="J159" s="1"/>
    </row>
    <row r="160" ht="33.75" customHeight="1">
      <c r="A160" s="91" t="s">
        <v>4</v>
      </c>
      <c r="B160" s="92" t="s">
        <v>52</v>
      </c>
      <c r="C160" s="93"/>
      <c r="D160" s="93"/>
      <c r="E160" s="93"/>
      <c r="F160" s="93"/>
      <c r="G160" s="93"/>
      <c r="H160" s="94" t="s">
        <v>6</v>
      </c>
      <c r="I160" s="3">
        <f>SUM(H162:H163)</f>
        <v>5.0349999999999993</v>
      </c>
      <c r="J160" s="1"/>
      <c r="K160" s="1"/>
    </row>
    <row r="161" ht="15" customHeight="1">
      <c r="A161" s="91" t="s">
        <v>7</v>
      </c>
      <c r="B161" s="95" t="s">
        <v>8</v>
      </c>
      <c r="C161" s="52" t="s">
        <v>9</v>
      </c>
      <c r="D161" s="52" t="s">
        <v>10</v>
      </c>
      <c r="E161" s="52" t="s">
        <v>11</v>
      </c>
      <c r="F161" s="52" t="s">
        <v>12</v>
      </c>
      <c r="G161" s="52" t="s">
        <v>13</v>
      </c>
      <c r="H161" s="96" t="s">
        <v>14</v>
      </c>
      <c r="I161" s="52" t="s">
        <v>15</v>
      </c>
      <c r="J161" s="1"/>
    </row>
    <row r="162" ht="70.5" customHeight="1">
      <c r="A162" s="78" t="s">
        <v>28</v>
      </c>
      <c r="B162" s="70" t="s">
        <v>20</v>
      </c>
      <c r="C162" s="71" t="s">
        <v>32</v>
      </c>
      <c r="D162" s="71">
        <v>2.6499999999999999</v>
      </c>
      <c r="E162" s="71"/>
      <c r="F162" s="71">
        <v>0.94999999999999996</v>
      </c>
      <c r="G162" s="71"/>
      <c r="H162" s="72">
        <f t="shared" si="3"/>
        <v>2.5174999999999996</v>
      </c>
      <c r="I162" s="78"/>
      <c r="J162" s="1"/>
    </row>
    <row r="163" ht="60.75" customHeight="1">
      <c r="A163" s="78" t="s">
        <v>29</v>
      </c>
      <c r="B163" s="70" t="s">
        <v>20</v>
      </c>
      <c r="C163" s="71" t="s">
        <v>32</v>
      </c>
      <c r="D163" s="71">
        <v>2.6499999999999999</v>
      </c>
      <c r="E163" s="71"/>
      <c r="F163" s="71">
        <v>0.94999999999999996</v>
      </c>
      <c r="G163" s="71"/>
      <c r="H163" s="72">
        <f t="shared" si="3"/>
        <v>2.5174999999999996</v>
      </c>
      <c r="I163" s="78"/>
      <c r="J163" s="1"/>
    </row>
    <row r="164" ht="16.5" customHeight="1">
      <c r="A164" s="3"/>
      <c r="B164" s="51"/>
      <c r="C164" s="52"/>
      <c r="D164" s="52"/>
      <c r="E164" s="52"/>
      <c r="F164" s="52"/>
      <c r="G164" s="52"/>
      <c r="H164" s="53"/>
      <c r="I164" s="3"/>
      <c r="J164" s="1"/>
    </row>
    <row r="165" ht="16.5" customHeight="1">
      <c r="A165" s="3"/>
      <c r="B165" s="51"/>
      <c r="C165" s="52"/>
      <c r="D165" s="52"/>
      <c r="E165" s="52"/>
      <c r="F165" s="52"/>
      <c r="G165" s="52"/>
      <c r="H165" s="53"/>
      <c r="I165" s="3"/>
      <c r="J165" s="1"/>
    </row>
    <row r="166" ht="16.5" customHeight="1">
      <c r="A166" s="88" t="s">
        <v>4</v>
      </c>
      <c r="B166" s="89"/>
      <c r="C166" s="90"/>
      <c r="D166" s="90"/>
      <c r="E166" s="90"/>
      <c r="F166" s="90"/>
      <c r="G166" s="90"/>
      <c r="H166" s="8" t="s">
        <v>1</v>
      </c>
      <c r="I166" s="9"/>
      <c r="J166" s="1"/>
    </row>
    <row r="167" ht="16.5" customHeight="1">
      <c r="A167" s="88" t="s">
        <v>2</v>
      </c>
      <c r="B167" s="89"/>
      <c r="C167" s="90"/>
      <c r="D167" s="90"/>
      <c r="E167" s="90"/>
      <c r="F167" s="90"/>
      <c r="G167" s="90"/>
      <c r="H167" s="14" t="s">
        <v>3</v>
      </c>
      <c r="I167" s="15"/>
      <c r="J167" s="1"/>
    </row>
    <row r="168" ht="33.75" customHeight="1">
      <c r="A168" s="91" t="s">
        <v>4</v>
      </c>
      <c r="B168" s="92" t="s">
        <v>52</v>
      </c>
      <c r="C168" s="93"/>
      <c r="D168" s="93"/>
      <c r="E168" s="93"/>
      <c r="F168" s="93"/>
      <c r="G168" s="93"/>
      <c r="H168" s="94" t="s">
        <v>6</v>
      </c>
      <c r="I168" s="3">
        <f>SUM(H170:H172)</f>
        <v>7.2675000000000001</v>
      </c>
      <c r="J168" s="1"/>
      <c r="K168" s="1"/>
    </row>
    <row r="169" ht="15" customHeight="1">
      <c r="A169" s="91" t="s">
        <v>7</v>
      </c>
      <c r="B169" s="95" t="s">
        <v>8</v>
      </c>
      <c r="C169" s="52" t="s">
        <v>9</v>
      </c>
      <c r="D169" s="52" t="s">
        <v>10</v>
      </c>
      <c r="E169" s="52" t="s">
        <v>11</v>
      </c>
      <c r="F169" s="52" t="s">
        <v>12</v>
      </c>
      <c r="G169" s="52" t="s">
        <v>13</v>
      </c>
      <c r="H169" s="96" t="s">
        <v>14</v>
      </c>
      <c r="I169" s="52" t="s">
        <v>15</v>
      </c>
      <c r="J169" s="1"/>
    </row>
    <row r="170" ht="63" customHeight="1">
      <c r="A170" s="77">
        <v>15</v>
      </c>
      <c r="B170" s="77" t="s">
        <v>53</v>
      </c>
      <c r="C170" s="77"/>
      <c r="D170" s="77">
        <v>2.02</v>
      </c>
      <c r="E170" s="77"/>
      <c r="F170" s="71">
        <v>0.94999999999999996</v>
      </c>
      <c r="G170" s="77"/>
      <c r="H170" s="72">
        <f t="shared" si="3"/>
        <v>1.9189999999999998</v>
      </c>
      <c r="I170" s="78"/>
      <c r="J170" s="1"/>
    </row>
    <row r="171" ht="60.75" customHeight="1">
      <c r="A171" s="77" t="s">
        <v>28</v>
      </c>
      <c r="B171" s="70" t="s">
        <v>42</v>
      </c>
      <c r="C171" s="71"/>
      <c r="D171" s="71">
        <v>4.0199999999999996</v>
      </c>
      <c r="E171" s="71"/>
      <c r="F171" s="71">
        <v>0.94999999999999996</v>
      </c>
      <c r="G171" s="71"/>
      <c r="H171" s="72">
        <f t="shared" si="3"/>
        <v>3.8189999999999995</v>
      </c>
      <c r="I171" s="78"/>
      <c r="J171" s="1"/>
    </row>
    <row r="172" ht="60.75" customHeight="1">
      <c r="A172" s="77" t="s">
        <v>29</v>
      </c>
      <c r="B172" s="70" t="s">
        <v>20</v>
      </c>
      <c r="C172" s="71"/>
      <c r="D172" s="71">
        <v>1.6100000000000001</v>
      </c>
      <c r="E172" s="71"/>
      <c r="F172" s="71">
        <v>0.94999999999999996</v>
      </c>
      <c r="G172" s="71"/>
      <c r="H172" s="72">
        <f t="shared" si="3"/>
        <v>1.5295000000000001</v>
      </c>
      <c r="I172" s="78"/>
      <c r="J172" s="1"/>
    </row>
    <row r="173" ht="16.5" customHeight="1">
      <c r="A173" s="3"/>
      <c r="B173" s="51"/>
      <c r="C173" s="52"/>
      <c r="D173" s="52"/>
      <c r="E173" s="52"/>
      <c r="F173" s="52"/>
      <c r="G173" s="52"/>
      <c r="H173" s="53"/>
      <c r="I173" s="3"/>
      <c r="J173" s="1"/>
    </row>
    <row r="174" ht="16.5" customHeight="1">
      <c r="A174" s="3"/>
      <c r="B174" s="51"/>
      <c r="C174" s="52"/>
      <c r="D174" s="52"/>
      <c r="E174" s="52"/>
      <c r="F174" s="52"/>
      <c r="G174" s="52"/>
      <c r="H174" s="53"/>
      <c r="I174" s="3"/>
      <c r="J174" s="1"/>
    </row>
    <row r="175" ht="16.5" customHeight="1">
      <c r="A175" s="88" t="s">
        <v>4</v>
      </c>
      <c r="B175" s="89"/>
      <c r="C175" s="90"/>
      <c r="D175" s="90"/>
      <c r="E175" s="90"/>
      <c r="F175" s="90"/>
      <c r="G175" s="90"/>
      <c r="H175" s="8" t="s">
        <v>1</v>
      </c>
      <c r="I175" s="9"/>
      <c r="J175" s="1"/>
    </row>
    <row r="176" ht="16.5" customHeight="1">
      <c r="A176" s="88" t="s">
        <v>2</v>
      </c>
      <c r="B176" s="89"/>
      <c r="C176" s="90"/>
      <c r="D176" s="90"/>
      <c r="E176" s="90"/>
      <c r="F176" s="90"/>
      <c r="G176" s="90"/>
      <c r="H176" s="14" t="s">
        <v>3</v>
      </c>
      <c r="I176" s="15"/>
      <c r="J176" s="1"/>
    </row>
    <row r="177" ht="33.75" customHeight="1">
      <c r="A177" s="91" t="s">
        <v>4</v>
      </c>
      <c r="B177" s="92" t="s">
        <v>54</v>
      </c>
      <c r="C177" s="93"/>
      <c r="D177" s="93"/>
      <c r="E177" s="93"/>
      <c r="F177" s="93"/>
      <c r="G177" s="93"/>
      <c r="H177" s="94" t="s">
        <v>6</v>
      </c>
      <c r="I177" s="3">
        <f>SUM(H179:H180)</f>
        <v>8</v>
      </c>
      <c r="J177" s="1"/>
      <c r="K177" s="1"/>
    </row>
    <row r="178" ht="15" customHeight="1">
      <c r="A178" s="91" t="s">
        <v>7</v>
      </c>
      <c r="B178" s="95" t="s">
        <v>8</v>
      </c>
      <c r="C178" s="52" t="s">
        <v>9</v>
      </c>
      <c r="D178" s="52" t="s">
        <v>10</v>
      </c>
      <c r="E178" s="52" t="s">
        <v>11</v>
      </c>
      <c r="F178" s="52" t="s">
        <v>12</v>
      </c>
      <c r="G178" s="52" t="s">
        <v>13</v>
      </c>
      <c r="H178" s="96" t="s">
        <v>14</v>
      </c>
      <c r="I178" s="52" t="s">
        <v>15</v>
      </c>
      <c r="J178" s="1"/>
    </row>
    <row r="179" ht="78.75" customHeight="1">
      <c r="A179" s="77" t="s">
        <v>45</v>
      </c>
      <c r="B179" s="77" t="s">
        <v>42</v>
      </c>
      <c r="C179" s="77"/>
      <c r="D179" s="77">
        <v>4</v>
      </c>
      <c r="E179" s="77"/>
      <c r="F179" s="71"/>
      <c r="G179" s="77"/>
      <c r="H179" s="72">
        <f t="shared" si="3"/>
        <v>4</v>
      </c>
      <c r="I179" s="78"/>
      <c r="J179" s="1"/>
    </row>
    <row r="180" ht="68.25" customHeight="1">
      <c r="A180" s="77" t="s">
        <v>47</v>
      </c>
      <c r="B180" s="77" t="s">
        <v>42</v>
      </c>
      <c r="C180" s="77"/>
      <c r="D180" s="77">
        <v>4</v>
      </c>
      <c r="E180" s="71"/>
      <c r="F180" s="71"/>
      <c r="G180" s="71"/>
      <c r="H180" s="72">
        <f t="shared" si="3"/>
        <v>4</v>
      </c>
      <c r="I180" s="78"/>
      <c r="J180" s="1"/>
    </row>
    <row r="181" ht="16.5" customHeight="1">
      <c r="A181" s="3"/>
      <c r="B181" s="51"/>
      <c r="C181" s="52"/>
      <c r="D181" s="52"/>
      <c r="E181" s="52"/>
      <c r="F181" s="52"/>
      <c r="G181" s="52"/>
      <c r="H181" s="53"/>
      <c r="I181" s="3"/>
      <c r="J181" s="1"/>
    </row>
    <row r="182" ht="16.5" customHeight="1">
      <c r="A182" s="3"/>
      <c r="B182" s="51"/>
      <c r="C182" s="52"/>
      <c r="D182" s="52"/>
      <c r="E182" s="52"/>
      <c r="F182" s="52"/>
      <c r="G182" s="52"/>
      <c r="H182" s="53"/>
      <c r="I182" s="3"/>
      <c r="J182" s="1"/>
    </row>
    <row r="183" ht="16.5" customHeight="1">
      <c r="A183" s="88" t="s">
        <v>4</v>
      </c>
      <c r="B183" s="89"/>
      <c r="C183" s="90"/>
      <c r="D183" s="90"/>
      <c r="E183" s="90"/>
      <c r="F183" s="90"/>
      <c r="G183" s="90"/>
      <c r="H183" s="8" t="s">
        <v>1</v>
      </c>
      <c r="I183" s="9"/>
      <c r="J183" s="1"/>
    </row>
    <row r="184" ht="16.5" customHeight="1">
      <c r="A184" s="88" t="s">
        <v>2</v>
      </c>
      <c r="B184" s="89"/>
      <c r="C184" s="90"/>
      <c r="D184" s="90"/>
      <c r="E184" s="90"/>
      <c r="F184" s="90"/>
      <c r="G184" s="90"/>
      <c r="H184" s="14" t="s">
        <v>3</v>
      </c>
      <c r="I184" s="15"/>
      <c r="J184" s="1"/>
    </row>
    <row r="185" ht="33.75" customHeight="1">
      <c r="A185" s="91" t="s">
        <v>4</v>
      </c>
      <c r="B185" s="92" t="s">
        <v>55</v>
      </c>
      <c r="C185" s="93"/>
      <c r="D185" s="93"/>
      <c r="E185" s="93"/>
      <c r="F185" s="93"/>
      <c r="G185" s="93"/>
      <c r="H185" s="94" t="s">
        <v>6</v>
      </c>
      <c r="I185" s="3">
        <f>SUM(H187:H188)</f>
        <v>11.32</v>
      </c>
      <c r="J185" s="1"/>
      <c r="K185" s="1"/>
    </row>
    <row r="186" ht="15" customHeight="1">
      <c r="A186" s="91" t="s">
        <v>7</v>
      </c>
      <c r="B186" s="95" t="s">
        <v>8</v>
      </c>
      <c r="C186" s="52" t="s">
        <v>9</v>
      </c>
      <c r="D186" s="52" t="s">
        <v>10</v>
      </c>
      <c r="E186" s="52" t="s">
        <v>11</v>
      </c>
      <c r="F186" s="52" t="s">
        <v>12</v>
      </c>
      <c r="G186" s="52" t="s">
        <v>13</v>
      </c>
      <c r="H186" s="96" t="s">
        <v>14</v>
      </c>
      <c r="I186" s="52" t="s">
        <v>15</v>
      </c>
      <c r="J186" s="1"/>
    </row>
    <row r="187" ht="77.25" customHeight="1">
      <c r="A187" s="77" t="s">
        <v>56</v>
      </c>
      <c r="B187" s="77" t="s">
        <v>53</v>
      </c>
      <c r="C187" s="77"/>
      <c r="D187" s="77">
        <v>5.6600000000000001</v>
      </c>
      <c r="E187" s="77"/>
      <c r="F187" s="71"/>
      <c r="G187" s="77"/>
      <c r="H187" s="72">
        <f t="shared" si="3"/>
        <v>5.6600000000000001</v>
      </c>
      <c r="I187" s="78"/>
      <c r="J187" s="1"/>
    </row>
    <row r="188" ht="69" customHeight="1">
      <c r="A188" s="77">
        <v>17</v>
      </c>
      <c r="B188" s="77" t="s">
        <v>53</v>
      </c>
      <c r="C188" s="71"/>
      <c r="D188" s="71">
        <v>5.6600000000000001</v>
      </c>
      <c r="E188" s="71"/>
      <c r="F188" s="71"/>
      <c r="G188" s="71"/>
      <c r="H188" s="72">
        <f t="shared" si="3"/>
        <v>5.6600000000000001</v>
      </c>
      <c r="I188" s="78"/>
      <c r="J188" s="1"/>
    </row>
    <row r="189" ht="16.5" customHeight="1">
      <c r="A189" s="3"/>
      <c r="B189" s="51"/>
      <c r="C189" s="52"/>
      <c r="D189" s="52"/>
      <c r="E189" s="52"/>
      <c r="F189" s="52"/>
      <c r="G189" s="52"/>
      <c r="H189" s="53"/>
      <c r="I189" s="3"/>
      <c r="J189" s="1"/>
    </row>
    <row r="190" ht="16.5" customHeight="1">
      <c r="A190" s="3"/>
      <c r="B190" s="51"/>
      <c r="C190" s="52"/>
      <c r="D190" s="52"/>
      <c r="E190" s="52"/>
      <c r="F190" s="52"/>
      <c r="G190" s="52"/>
      <c r="H190" s="53"/>
      <c r="I190" s="3"/>
      <c r="J190" s="1"/>
    </row>
    <row r="191" ht="16.5" customHeight="1">
      <c r="A191" s="88" t="s">
        <v>4</v>
      </c>
      <c r="B191" s="89"/>
      <c r="C191" s="90"/>
      <c r="D191" s="90"/>
      <c r="E191" s="90"/>
      <c r="F191" s="90"/>
      <c r="G191" s="90"/>
      <c r="H191" s="8" t="s">
        <v>1</v>
      </c>
      <c r="I191" s="9"/>
      <c r="J191" s="1"/>
    </row>
    <row r="192" ht="16.5" customHeight="1">
      <c r="A192" s="88" t="s">
        <v>2</v>
      </c>
      <c r="B192" s="89"/>
      <c r="C192" s="90"/>
      <c r="D192" s="90"/>
      <c r="E192" s="90"/>
      <c r="F192" s="90"/>
      <c r="G192" s="90"/>
      <c r="H192" s="14" t="s">
        <v>3</v>
      </c>
      <c r="I192" s="15"/>
      <c r="J192" s="1"/>
    </row>
    <row r="193" ht="33.75" customHeight="1">
      <c r="A193" s="91" t="s">
        <v>4</v>
      </c>
      <c r="B193" s="92" t="s">
        <v>57</v>
      </c>
      <c r="C193" s="93"/>
      <c r="D193" s="93"/>
      <c r="E193" s="93"/>
      <c r="F193" s="93"/>
      <c r="G193" s="93"/>
      <c r="H193" s="94" t="s">
        <v>6</v>
      </c>
      <c r="I193" s="3">
        <f>SUM(H195:H196)</f>
        <v>1.2</v>
      </c>
      <c r="J193" s="1"/>
      <c r="K193" s="1"/>
    </row>
    <row r="194" ht="15" customHeight="1">
      <c r="A194" s="91" t="s">
        <v>7</v>
      </c>
      <c r="B194" s="95" t="s">
        <v>8</v>
      </c>
      <c r="C194" s="52" t="s">
        <v>9</v>
      </c>
      <c r="D194" s="52" t="s">
        <v>10</v>
      </c>
      <c r="E194" s="52" t="s">
        <v>11</v>
      </c>
      <c r="F194" s="52" t="s">
        <v>12</v>
      </c>
      <c r="G194" s="52" t="s">
        <v>13</v>
      </c>
      <c r="H194" s="96" t="s">
        <v>14</v>
      </c>
      <c r="I194" s="52" t="s">
        <v>15</v>
      </c>
      <c r="J194" s="1"/>
    </row>
    <row r="195" ht="63.75" customHeight="1">
      <c r="A195" s="77" t="s">
        <v>28</v>
      </c>
      <c r="B195" s="77" t="s">
        <v>58</v>
      </c>
      <c r="C195" s="77"/>
      <c r="D195" s="77">
        <v>0.59999999999999998</v>
      </c>
      <c r="E195" s="77"/>
      <c r="F195" s="71"/>
      <c r="G195" s="77"/>
      <c r="H195" s="72">
        <f t="shared" si="3"/>
        <v>0.59999999999999998</v>
      </c>
      <c r="I195" s="78"/>
      <c r="J195" s="1"/>
    </row>
    <row r="196" ht="72" customHeight="1">
      <c r="A196" s="77" t="s">
        <v>29</v>
      </c>
      <c r="B196" s="77" t="s">
        <v>58</v>
      </c>
      <c r="C196" s="77"/>
      <c r="D196" s="77">
        <v>0.59999999999999998</v>
      </c>
      <c r="E196" s="71"/>
      <c r="F196" s="71"/>
      <c r="G196" s="71"/>
      <c r="H196" s="72">
        <f t="shared" si="3"/>
        <v>0.59999999999999998</v>
      </c>
      <c r="I196" s="78"/>
      <c r="J196" s="1"/>
    </row>
    <row r="197" ht="16.5" customHeight="1">
      <c r="A197" s="3"/>
      <c r="B197" s="51"/>
      <c r="C197" s="52"/>
      <c r="D197" s="52"/>
      <c r="E197" s="52"/>
      <c r="F197" s="52"/>
      <c r="G197" s="52"/>
      <c r="H197" s="53"/>
      <c r="I197" s="3"/>
      <c r="J197" s="1"/>
    </row>
    <row r="198" ht="16.5" customHeight="1">
      <c r="A198" s="3"/>
      <c r="B198" s="51"/>
      <c r="C198" s="52"/>
      <c r="D198" s="52"/>
      <c r="E198" s="52"/>
      <c r="F198" s="52"/>
      <c r="G198" s="52"/>
      <c r="H198" s="53"/>
      <c r="I198" s="3"/>
      <c r="J198" s="1"/>
    </row>
    <row r="199" ht="16.5" customHeight="1">
      <c r="A199" s="88" t="s">
        <v>4</v>
      </c>
      <c r="B199" s="89"/>
      <c r="C199" s="90"/>
      <c r="D199" s="90"/>
      <c r="E199" s="90"/>
      <c r="F199" s="90"/>
      <c r="G199" s="90"/>
      <c r="H199" s="8" t="s">
        <v>1</v>
      </c>
      <c r="I199" s="9"/>
      <c r="J199" s="1"/>
    </row>
    <row r="200" ht="16.5" customHeight="1">
      <c r="A200" s="88" t="s">
        <v>2</v>
      </c>
      <c r="B200" s="89"/>
      <c r="C200" s="90"/>
      <c r="D200" s="90"/>
      <c r="E200" s="90"/>
      <c r="F200" s="90"/>
      <c r="G200" s="90"/>
      <c r="H200" s="14" t="s">
        <v>3</v>
      </c>
      <c r="I200" s="15"/>
      <c r="J200" s="1"/>
    </row>
    <row r="201" ht="33.75" customHeight="1">
      <c r="A201" s="91" t="s">
        <v>4</v>
      </c>
      <c r="B201" s="92" t="s">
        <v>59</v>
      </c>
      <c r="C201" s="93"/>
      <c r="D201" s="93"/>
      <c r="E201" s="93"/>
      <c r="F201" s="93"/>
      <c r="G201" s="93"/>
      <c r="H201" s="94" t="s">
        <v>6</v>
      </c>
      <c r="I201" s="3">
        <f>SUM(H203:H205)</f>
        <v>0</v>
      </c>
      <c r="J201" s="1"/>
      <c r="K201" s="1"/>
    </row>
    <row r="202" ht="15" customHeight="1">
      <c r="A202" s="91" t="s">
        <v>7</v>
      </c>
      <c r="B202" s="95" t="s">
        <v>8</v>
      </c>
      <c r="C202" s="52" t="s">
        <v>9</v>
      </c>
      <c r="D202" s="52" t="s">
        <v>10</v>
      </c>
      <c r="E202" s="52" t="s">
        <v>11</v>
      </c>
      <c r="F202" s="52" t="s">
        <v>12</v>
      </c>
      <c r="G202" s="52" t="s">
        <v>13</v>
      </c>
      <c r="H202" s="96" t="s">
        <v>14</v>
      </c>
      <c r="I202" s="52" t="s">
        <v>15</v>
      </c>
      <c r="J202" s="1"/>
    </row>
    <row r="203" ht="46.5" customHeight="1">
      <c r="A203" s="77"/>
      <c r="B203" s="77"/>
      <c r="C203" s="77"/>
      <c r="D203" s="77"/>
      <c r="E203" s="77"/>
      <c r="F203" s="71"/>
      <c r="G203" s="77"/>
      <c r="H203" s="72">
        <f t="shared" si="3"/>
        <v>0</v>
      </c>
      <c r="I203" s="78"/>
      <c r="J203" s="1"/>
    </row>
    <row r="204" ht="47.25" customHeight="1">
      <c r="A204" s="77"/>
      <c r="B204" s="70"/>
      <c r="C204" s="71"/>
      <c r="D204" s="71"/>
      <c r="E204" s="71"/>
      <c r="F204" s="71"/>
      <c r="G204" s="71"/>
      <c r="H204" s="72">
        <f t="shared" si="3"/>
        <v>0</v>
      </c>
      <c r="I204" s="78"/>
      <c r="J204" s="1"/>
    </row>
    <row r="205" ht="42.75" customHeight="1">
      <c r="A205" s="77"/>
      <c r="B205" s="70"/>
      <c r="C205" s="71"/>
      <c r="D205" s="71"/>
      <c r="E205" s="71"/>
      <c r="F205" s="71"/>
      <c r="G205" s="71"/>
      <c r="H205" s="72">
        <f t="shared" si="3"/>
        <v>0</v>
      </c>
      <c r="I205" s="78"/>
      <c r="J205" s="1"/>
    </row>
    <row r="206" ht="16.5" customHeight="1">
      <c r="A206" s="3"/>
      <c r="B206" s="51"/>
      <c r="C206" s="52"/>
      <c r="D206" s="52"/>
      <c r="E206" s="52"/>
      <c r="F206" s="52"/>
      <c r="G206" s="52"/>
      <c r="H206" s="53"/>
      <c r="I206" s="3"/>
      <c r="J206" s="1"/>
    </row>
    <row r="207" ht="16.5" customHeight="1">
      <c r="A207" s="3"/>
      <c r="B207" s="51"/>
      <c r="C207" s="52"/>
      <c r="D207" s="52"/>
      <c r="E207" s="52"/>
      <c r="F207" s="52"/>
      <c r="G207" s="52"/>
      <c r="H207" s="53"/>
      <c r="I207" s="3"/>
      <c r="J207" s="1"/>
    </row>
    <row r="208" ht="16.5" customHeight="1">
      <c r="A208" s="88" t="s">
        <v>4</v>
      </c>
      <c r="B208" s="89"/>
      <c r="C208" s="90"/>
      <c r="D208" s="90"/>
      <c r="E208" s="90"/>
      <c r="F208" s="90"/>
      <c r="G208" s="90"/>
      <c r="H208" s="8" t="s">
        <v>1</v>
      </c>
      <c r="I208" s="9"/>
      <c r="J208" s="1"/>
    </row>
    <row r="209" ht="16.5" customHeight="1">
      <c r="A209" s="88" t="s">
        <v>2</v>
      </c>
      <c r="B209" s="89" t="s">
        <v>40</v>
      </c>
      <c r="C209" s="90"/>
      <c r="D209" s="90"/>
      <c r="E209" s="90"/>
      <c r="F209" s="90"/>
      <c r="G209" s="90"/>
      <c r="H209" s="14" t="s">
        <v>3</v>
      </c>
      <c r="I209" s="15"/>
      <c r="J209" s="1"/>
    </row>
    <row r="210" ht="33.75" customHeight="1">
      <c r="A210" s="91" t="s">
        <v>4</v>
      </c>
      <c r="B210" s="92" t="s">
        <v>59</v>
      </c>
      <c r="C210" s="93"/>
      <c r="D210" s="93"/>
      <c r="E210" s="93"/>
      <c r="F210" s="93"/>
      <c r="G210" s="93"/>
      <c r="H210" s="94" t="s">
        <v>6</v>
      </c>
      <c r="I210" s="3">
        <f>SUM(H212:H214)</f>
        <v>0</v>
      </c>
      <c r="J210" s="1"/>
      <c r="K210" s="1"/>
    </row>
    <row r="211" ht="15" customHeight="1">
      <c r="A211" s="91" t="s">
        <v>7</v>
      </c>
      <c r="B211" s="95" t="s">
        <v>8</v>
      </c>
      <c r="C211" s="52" t="s">
        <v>9</v>
      </c>
      <c r="D211" s="52" t="s">
        <v>10</v>
      </c>
      <c r="E211" s="52" t="s">
        <v>11</v>
      </c>
      <c r="F211" s="52" t="s">
        <v>12</v>
      </c>
      <c r="G211" s="52" t="s">
        <v>13</v>
      </c>
      <c r="H211" s="96" t="s">
        <v>14</v>
      </c>
      <c r="I211" s="52" t="s">
        <v>15</v>
      </c>
      <c r="J211" s="1"/>
    </row>
    <row r="212" ht="39" customHeight="1">
      <c r="A212" s="77"/>
      <c r="B212" s="77"/>
      <c r="C212" s="77"/>
      <c r="D212" s="77"/>
      <c r="E212" s="77"/>
      <c r="F212" s="71"/>
      <c r="G212" s="77"/>
      <c r="H212" s="72">
        <f t="shared" si="3"/>
        <v>0</v>
      </c>
      <c r="I212" s="78"/>
      <c r="J212" s="1"/>
    </row>
    <row r="213" ht="41.25" customHeight="1">
      <c r="A213" s="77"/>
      <c r="B213" s="70"/>
      <c r="C213" s="71"/>
      <c r="D213" s="71"/>
      <c r="E213" s="71"/>
      <c r="F213" s="71"/>
      <c r="G213" s="71"/>
      <c r="H213" s="72">
        <f t="shared" si="3"/>
        <v>0</v>
      </c>
      <c r="I213" s="78"/>
      <c r="J213" s="1"/>
    </row>
    <row r="214" ht="42" customHeight="1">
      <c r="A214" s="77"/>
      <c r="B214" s="70"/>
      <c r="C214" s="71"/>
      <c r="D214" s="71"/>
      <c r="E214" s="71"/>
      <c r="F214" s="71"/>
      <c r="G214" s="71"/>
      <c r="H214" s="72">
        <f t="shared" ref="H214:H277" si="4">PRODUCT(D214:G214)</f>
        <v>0</v>
      </c>
      <c r="I214" s="78"/>
      <c r="J214" s="1"/>
    </row>
    <row r="215" ht="16.5" customHeight="1">
      <c r="A215" s="3"/>
      <c r="B215" s="51"/>
      <c r="C215" s="52"/>
      <c r="D215" s="52"/>
      <c r="E215" s="52"/>
      <c r="F215" s="52"/>
      <c r="G215" s="52"/>
      <c r="H215" s="53"/>
      <c r="I215" s="3"/>
      <c r="J215" s="1"/>
    </row>
    <row r="216" ht="16.5" customHeight="1">
      <c r="A216" s="3"/>
      <c r="B216" s="51"/>
      <c r="C216" s="52"/>
      <c r="D216" s="52"/>
      <c r="E216" s="52"/>
      <c r="F216" s="52"/>
      <c r="G216" s="52"/>
      <c r="H216" s="53"/>
      <c r="I216" s="3"/>
      <c r="J216" s="1"/>
    </row>
    <row r="217" ht="16.5" customHeight="1">
      <c r="A217" s="88" t="s">
        <v>0</v>
      </c>
      <c r="B217" s="89"/>
      <c r="C217" s="90"/>
      <c r="D217" s="90"/>
      <c r="E217" s="90"/>
      <c r="F217" s="90"/>
      <c r="G217" s="90"/>
      <c r="H217" s="8" t="s">
        <v>1</v>
      </c>
      <c r="I217" s="9"/>
      <c r="J217" s="1"/>
    </row>
    <row r="218" ht="16.5" customHeight="1">
      <c r="A218" s="88" t="s">
        <v>2</v>
      </c>
      <c r="B218" s="89"/>
      <c r="C218" s="90"/>
      <c r="D218" s="90"/>
      <c r="E218" s="90"/>
      <c r="F218" s="90"/>
      <c r="G218" s="90"/>
      <c r="H218" s="14" t="s">
        <v>3</v>
      </c>
      <c r="I218" s="15"/>
      <c r="J218" s="1"/>
    </row>
    <row r="219" ht="33.75" customHeight="1">
      <c r="A219" s="91" t="s">
        <v>4</v>
      </c>
      <c r="B219" s="92" t="s">
        <v>60</v>
      </c>
      <c r="C219" s="93"/>
      <c r="D219" s="93"/>
      <c r="E219" s="93"/>
      <c r="F219" s="93"/>
      <c r="G219" s="93"/>
      <c r="H219" s="94" t="s">
        <v>6</v>
      </c>
      <c r="I219" s="3">
        <f>SUM(H221:H221)</f>
        <v>23.399999999999999</v>
      </c>
      <c r="J219" s="1"/>
      <c r="K219" s="1"/>
    </row>
    <row r="220" ht="15" customHeight="1">
      <c r="A220" s="91" t="s">
        <v>7</v>
      </c>
      <c r="B220" s="95" t="s">
        <v>8</v>
      </c>
      <c r="C220" s="52" t="s">
        <v>9</v>
      </c>
      <c r="D220" s="52" t="s">
        <v>10</v>
      </c>
      <c r="E220" s="52" t="s">
        <v>11</v>
      </c>
      <c r="F220" s="52" t="s">
        <v>12</v>
      </c>
      <c r="G220" s="52" t="s">
        <v>13</v>
      </c>
      <c r="H220" s="96" t="s">
        <v>14</v>
      </c>
      <c r="I220" s="52" t="s">
        <v>15</v>
      </c>
      <c r="J220" s="1"/>
    </row>
    <row r="221" ht="134.25" customHeight="1">
      <c r="A221" s="78"/>
      <c r="B221" s="70"/>
      <c r="C221" s="71" t="s">
        <v>18</v>
      </c>
      <c r="D221" s="71"/>
      <c r="E221" s="71"/>
      <c r="F221" s="71"/>
      <c r="G221" s="71">
        <v>23.399999999999999</v>
      </c>
      <c r="H221" s="72">
        <f t="shared" si="4"/>
        <v>23.399999999999999</v>
      </c>
      <c r="I221" s="78"/>
      <c r="J221" s="1"/>
    </row>
    <row r="222" ht="14.25" customHeight="1">
      <c r="A222" s="3"/>
      <c r="B222" s="51"/>
      <c r="C222" s="52"/>
      <c r="D222" s="52"/>
      <c r="E222" s="52"/>
      <c r="F222" s="52"/>
      <c r="G222" s="52"/>
      <c r="H222" s="53"/>
      <c r="I222" s="3"/>
      <c r="J222" s="1"/>
    </row>
    <row r="223" ht="14.25" customHeight="1">
      <c r="A223" s="3"/>
      <c r="B223" s="51"/>
      <c r="C223" s="52"/>
      <c r="D223" s="52"/>
      <c r="E223" s="52"/>
      <c r="F223" s="52"/>
      <c r="G223" s="52"/>
      <c r="H223" s="53"/>
      <c r="I223" s="3"/>
      <c r="J223" s="1"/>
    </row>
    <row r="224" ht="14.25" customHeight="1">
      <c r="A224" s="88" t="s">
        <v>0</v>
      </c>
      <c r="B224" s="89"/>
      <c r="C224" s="90"/>
      <c r="D224" s="90"/>
      <c r="E224" s="90"/>
      <c r="F224" s="90"/>
      <c r="G224" s="90"/>
      <c r="H224" s="8" t="s">
        <v>1</v>
      </c>
      <c r="I224" s="9"/>
      <c r="J224" s="1"/>
    </row>
    <row r="225" ht="14.25" customHeight="1">
      <c r="A225" s="88" t="s">
        <v>2</v>
      </c>
      <c r="B225" s="89" t="s">
        <v>61</v>
      </c>
      <c r="C225" s="90"/>
      <c r="D225" s="90"/>
      <c r="E225" s="90"/>
      <c r="F225" s="90"/>
      <c r="G225" s="90"/>
      <c r="H225" s="14" t="s">
        <v>3</v>
      </c>
      <c r="I225" s="15"/>
      <c r="J225" s="1"/>
    </row>
    <row r="226" ht="33.75" customHeight="1">
      <c r="A226" s="91" t="s">
        <v>4</v>
      </c>
      <c r="B226" s="92" t="s">
        <v>60</v>
      </c>
      <c r="C226" s="93"/>
      <c r="D226" s="93"/>
      <c r="E226" s="93"/>
      <c r="F226" s="93"/>
      <c r="G226" s="93"/>
      <c r="H226" s="94" t="s">
        <v>6</v>
      </c>
      <c r="I226" s="3">
        <f>SUM(H228:H228)</f>
        <v>13.289999999999999</v>
      </c>
      <c r="J226" s="1"/>
      <c r="K226" s="1"/>
    </row>
    <row r="227" ht="15" customHeight="1">
      <c r="A227" s="91" t="s">
        <v>7</v>
      </c>
      <c r="B227" s="95" t="s">
        <v>8</v>
      </c>
      <c r="C227" s="52" t="s">
        <v>9</v>
      </c>
      <c r="D227" s="52" t="s">
        <v>10</v>
      </c>
      <c r="E227" s="52" t="s">
        <v>11</v>
      </c>
      <c r="F227" s="52" t="s">
        <v>12</v>
      </c>
      <c r="G227" s="52" t="s">
        <v>13</v>
      </c>
      <c r="H227" s="96" t="s">
        <v>14</v>
      </c>
      <c r="I227" s="52" t="s">
        <v>15</v>
      </c>
      <c r="J227" s="1"/>
    </row>
    <row r="228" ht="119.25" customHeight="1">
      <c r="A228" s="78"/>
      <c r="B228" s="70"/>
      <c r="C228" s="71" t="s">
        <v>18</v>
      </c>
      <c r="D228" s="71"/>
      <c r="E228" s="71"/>
      <c r="F228" s="71"/>
      <c r="G228" s="71">
        <v>13.289999999999999</v>
      </c>
      <c r="H228" s="72">
        <f t="shared" si="4"/>
        <v>13.289999999999999</v>
      </c>
      <c r="I228" s="78"/>
      <c r="J228" s="1"/>
    </row>
    <row r="229" ht="14.25" customHeight="1">
      <c r="A229" s="3"/>
      <c r="B229" s="51"/>
      <c r="C229" s="52"/>
      <c r="D229" s="52"/>
      <c r="E229" s="52"/>
      <c r="F229" s="52"/>
      <c r="G229" s="52"/>
      <c r="H229" s="53"/>
      <c r="I229" s="3"/>
      <c r="J229" s="1"/>
    </row>
    <row r="230" ht="14.25" customHeight="1">
      <c r="A230" s="3"/>
      <c r="B230" s="51"/>
      <c r="C230" s="52"/>
      <c r="D230" s="52"/>
      <c r="E230" s="52"/>
      <c r="F230" s="52"/>
      <c r="G230" s="52"/>
      <c r="H230" s="53"/>
      <c r="I230" s="3"/>
      <c r="J230" s="1"/>
    </row>
    <row r="231" ht="14.25" customHeight="1">
      <c r="A231" s="88" t="s">
        <v>0</v>
      </c>
      <c r="B231" s="89"/>
      <c r="C231" s="90"/>
      <c r="D231" s="90"/>
      <c r="E231" s="90"/>
      <c r="F231" s="90"/>
      <c r="G231" s="90"/>
      <c r="H231" s="8" t="s">
        <v>1</v>
      </c>
      <c r="I231" s="9"/>
      <c r="J231" s="1"/>
    </row>
    <row r="232" ht="14.25" customHeight="1">
      <c r="A232" s="88" t="s">
        <v>2</v>
      </c>
      <c r="B232" s="89" t="s">
        <v>62</v>
      </c>
      <c r="C232" s="90"/>
      <c r="D232" s="90"/>
      <c r="E232" s="90"/>
      <c r="F232" s="90"/>
      <c r="G232" s="90"/>
      <c r="H232" s="14" t="s">
        <v>3</v>
      </c>
      <c r="I232" s="15"/>
      <c r="J232" s="1"/>
    </row>
    <row r="233" ht="33.75" customHeight="1">
      <c r="A233" s="91" t="s">
        <v>4</v>
      </c>
      <c r="B233" s="92" t="s">
        <v>63</v>
      </c>
      <c r="C233" s="93"/>
      <c r="D233" s="93"/>
      <c r="E233" s="93"/>
      <c r="F233" s="93"/>
      <c r="G233" s="93"/>
      <c r="H233" s="94" t="s">
        <v>6</v>
      </c>
      <c r="I233" s="3">
        <f>SUM(H235:H235)</f>
        <v>8.5</v>
      </c>
      <c r="J233" s="1"/>
      <c r="K233" s="1"/>
    </row>
    <row r="234" ht="15" customHeight="1">
      <c r="A234" s="91" t="s">
        <v>7</v>
      </c>
      <c r="B234" s="95" t="s">
        <v>8</v>
      </c>
      <c r="C234" s="52" t="s">
        <v>9</v>
      </c>
      <c r="D234" s="52" t="s">
        <v>10</v>
      </c>
      <c r="E234" s="52" t="s">
        <v>11</v>
      </c>
      <c r="F234" s="52" t="s">
        <v>12</v>
      </c>
      <c r="G234" s="52" t="s">
        <v>13</v>
      </c>
      <c r="H234" s="96" t="s">
        <v>14</v>
      </c>
      <c r="I234" s="52" t="s">
        <v>15</v>
      </c>
      <c r="J234" s="1"/>
    </row>
    <row r="235" ht="110.25" customHeight="1">
      <c r="A235" s="78"/>
      <c r="B235" s="70"/>
      <c r="C235" s="71" t="s">
        <v>18</v>
      </c>
      <c r="D235" s="71"/>
      <c r="E235" s="71"/>
      <c r="F235" s="71"/>
      <c r="G235" s="71">
        <v>8.5</v>
      </c>
      <c r="H235" s="72">
        <f t="shared" si="4"/>
        <v>8.5</v>
      </c>
      <c r="I235" s="78"/>
      <c r="J235" s="1"/>
    </row>
    <row r="236" ht="14.25" customHeight="1">
      <c r="A236" s="3"/>
      <c r="B236" s="51"/>
      <c r="C236" s="52"/>
      <c r="D236" s="52"/>
      <c r="E236" s="52"/>
      <c r="F236" s="52"/>
      <c r="G236" s="52"/>
      <c r="H236" s="53"/>
      <c r="I236" s="3"/>
      <c r="J236" s="1"/>
    </row>
    <row r="237" ht="14.25" customHeight="1">
      <c r="A237" s="3"/>
      <c r="B237" s="51"/>
      <c r="C237" s="52"/>
      <c r="D237" s="52"/>
      <c r="E237" s="52"/>
      <c r="F237" s="52"/>
      <c r="G237" s="52"/>
      <c r="H237" s="53"/>
      <c r="I237" s="3"/>
      <c r="J237" s="1"/>
    </row>
    <row r="238" ht="14.25" customHeight="1">
      <c r="A238" s="88" t="s">
        <v>0</v>
      </c>
      <c r="B238" s="89"/>
      <c r="C238" s="90"/>
      <c r="D238" s="90"/>
      <c r="E238" s="90"/>
      <c r="F238" s="90"/>
      <c r="G238" s="90"/>
      <c r="H238" s="8" t="s">
        <v>1</v>
      </c>
      <c r="I238" s="9"/>
      <c r="J238" s="1"/>
    </row>
    <row r="239" ht="14.25" customHeight="1">
      <c r="A239" s="88" t="s">
        <v>2</v>
      </c>
      <c r="B239" s="89"/>
      <c r="C239" s="90"/>
      <c r="D239" s="90"/>
      <c r="E239" s="90"/>
      <c r="F239" s="90"/>
      <c r="G239" s="90"/>
      <c r="H239" s="14" t="s">
        <v>3</v>
      </c>
      <c r="I239" s="15"/>
      <c r="J239" s="1"/>
    </row>
    <row r="240" ht="19.5" customHeight="1">
      <c r="A240" s="91" t="s">
        <v>4</v>
      </c>
      <c r="B240" s="92" t="s">
        <v>64</v>
      </c>
      <c r="C240" s="93"/>
      <c r="D240" s="93"/>
      <c r="E240" s="93"/>
      <c r="F240" s="93"/>
      <c r="G240" s="93"/>
      <c r="H240" s="94" t="s">
        <v>6</v>
      </c>
      <c r="I240" s="3">
        <f>SUM(H242:H242)</f>
        <v>11.640000000000001</v>
      </c>
      <c r="J240" s="1"/>
      <c r="K240" s="1"/>
    </row>
    <row r="241" ht="15" customHeight="1">
      <c r="A241" s="91" t="s">
        <v>7</v>
      </c>
      <c r="B241" s="95" t="s">
        <v>8</v>
      </c>
      <c r="C241" s="52" t="s">
        <v>9</v>
      </c>
      <c r="D241" s="52" t="s">
        <v>10</v>
      </c>
      <c r="E241" s="52" t="s">
        <v>11</v>
      </c>
      <c r="F241" s="52" t="s">
        <v>12</v>
      </c>
      <c r="G241" s="52" t="s">
        <v>13</v>
      </c>
      <c r="H241" s="96" t="s">
        <v>14</v>
      </c>
      <c r="I241" s="52" t="s">
        <v>15</v>
      </c>
      <c r="J241" s="1"/>
    </row>
    <row r="242" ht="102.75" customHeight="1">
      <c r="A242" s="78"/>
      <c r="B242" s="70"/>
      <c r="C242" s="71" t="s">
        <v>18</v>
      </c>
      <c r="D242" s="71"/>
      <c r="E242" s="71"/>
      <c r="F242" s="71"/>
      <c r="G242" s="71">
        <v>11.640000000000001</v>
      </c>
      <c r="H242" s="72">
        <f t="shared" si="4"/>
        <v>11.640000000000001</v>
      </c>
      <c r="I242" s="78"/>
      <c r="J242" s="1"/>
    </row>
    <row r="243" ht="14.25" customHeight="1">
      <c r="A243" s="3"/>
      <c r="B243" s="51"/>
      <c r="C243" s="52"/>
      <c r="D243" s="52"/>
      <c r="E243" s="52"/>
      <c r="F243" s="52"/>
      <c r="G243" s="52"/>
      <c r="H243" s="53"/>
      <c r="I243" s="3"/>
      <c r="J243" s="1"/>
    </row>
    <row r="244" ht="14.25" customHeight="1">
      <c r="A244" s="3"/>
      <c r="B244" s="51"/>
      <c r="C244" s="52"/>
      <c r="D244" s="52"/>
      <c r="E244" s="52"/>
      <c r="F244" s="52"/>
      <c r="G244" s="52"/>
      <c r="H244" s="53"/>
      <c r="I244" s="3"/>
      <c r="J244" s="1"/>
    </row>
    <row r="245" ht="15" customHeight="1">
      <c r="A245" s="88" t="s">
        <v>0</v>
      </c>
      <c r="B245" s="89"/>
      <c r="C245" s="90"/>
      <c r="D245" s="90"/>
      <c r="E245" s="90"/>
      <c r="F245" s="90"/>
      <c r="G245" s="90"/>
      <c r="H245" s="8" t="s">
        <v>1</v>
      </c>
      <c r="I245" s="9"/>
      <c r="J245" s="1"/>
    </row>
    <row r="246" ht="15" customHeight="1">
      <c r="A246" s="88" t="s">
        <v>2</v>
      </c>
      <c r="B246" s="89"/>
      <c r="C246" s="90"/>
      <c r="D246" s="90"/>
      <c r="E246" s="90"/>
      <c r="F246" s="90"/>
      <c r="G246" s="90"/>
      <c r="H246" s="14" t="s">
        <v>3</v>
      </c>
      <c r="I246" s="15"/>
      <c r="J246" s="1"/>
    </row>
    <row r="247" ht="19.5" customHeight="1">
      <c r="A247" s="91" t="s">
        <v>4</v>
      </c>
      <c r="B247" s="92" t="s">
        <v>64</v>
      </c>
      <c r="C247" s="93"/>
      <c r="D247" s="93"/>
      <c r="E247" s="93"/>
      <c r="F247" s="93"/>
      <c r="G247" s="93"/>
      <c r="H247" s="94" t="s">
        <v>6</v>
      </c>
      <c r="I247" s="3">
        <f>SUM(H249:H249)</f>
        <v>8.5</v>
      </c>
      <c r="J247" s="1"/>
      <c r="K247" s="1"/>
    </row>
    <row r="248" ht="15" customHeight="1">
      <c r="A248" s="91" t="s">
        <v>7</v>
      </c>
      <c r="B248" s="95" t="s">
        <v>8</v>
      </c>
      <c r="C248" s="52" t="s">
        <v>9</v>
      </c>
      <c r="D248" s="52" t="s">
        <v>10</v>
      </c>
      <c r="E248" s="52" t="s">
        <v>11</v>
      </c>
      <c r="F248" s="52" t="s">
        <v>12</v>
      </c>
      <c r="G248" s="52" t="s">
        <v>13</v>
      </c>
      <c r="H248" s="96" t="s">
        <v>14</v>
      </c>
      <c r="I248" s="52" t="s">
        <v>15</v>
      </c>
      <c r="J248" s="1"/>
    </row>
    <row r="249" ht="90" customHeight="1">
      <c r="A249" s="78"/>
      <c r="B249" s="70"/>
      <c r="C249" s="71" t="s">
        <v>18</v>
      </c>
      <c r="D249" s="71"/>
      <c r="E249" s="71"/>
      <c r="F249" s="71"/>
      <c r="G249" s="71">
        <v>8.5</v>
      </c>
      <c r="H249" s="72">
        <f t="shared" si="4"/>
        <v>8.5</v>
      </c>
      <c r="I249" s="78"/>
      <c r="J249" s="1"/>
    </row>
    <row r="252" ht="15" customHeight="1">
      <c r="A252" s="88" t="s">
        <v>0</v>
      </c>
      <c r="B252" s="89"/>
      <c r="C252" s="90"/>
      <c r="D252" s="90"/>
      <c r="E252" s="90"/>
      <c r="F252" s="90"/>
      <c r="G252" s="90"/>
      <c r="H252" s="8" t="s">
        <v>1</v>
      </c>
      <c r="I252" s="9"/>
      <c r="J252" s="1"/>
    </row>
    <row r="253" ht="15" customHeight="1">
      <c r="A253" s="88" t="s">
        <v>2</v>
      </c>
      <c r="B253" s="89"/>
      <c r="C253" s="90"/>
      <c r="D253" s="90"/>
      <c r="E253" s="90"/>
      <c r="F253" s="90"/>
      <c r="G253" s="90"/>
      <c r="H253" s="14" t="s">
        <v>3</v>
      </c>
      <c r="I253" s="15"/>
      <c r="J253" s="1"/>
    </row>
    <row r="254" ht="33.75" customHeight="1">
      <c r="A254" s="91" t="s">
        <v>4</v>
      </c>
      <c r="B254" s="92" t="s">
        <v>65</v>
      </c>
      <c r="C254" s="93"/>
      <c r="D254" s="93"/>
      <c r="E254" s="93"/>
      <c r="F254" s="93"/>
      <c r="G254" s="93"/>
      <c r="H254" s="94" t="s">
        <v>6</v>
      </c>
      <c r="I254" s="3">
        <f>SUM(H256:H258)</f>
        <v>41.272999999999996</v>
      </c>
      <c r="J254" s="1"/>
      <c r="K254" s="1"/>
    </row>
    <row r="255" ht="15" customHeight="1">
      <c r="A255" s="91" t="s">
        <v>7</v>
      </c>
      <c r="B255" s="95" t="s">
        <v>8</v>
      </c>
      <c r="C255" s="52" t="s">
        <v>9</v>
      </c>
      <c r="D255" s="52" t="s">
        <v>10</v>
      </c>
      <c r="E255" s="52" t="s">
        <v>11</v>
      </c>
      <c r="F255" s="52" t="s">
        <v>12</v>
      </c>
      <c r="G255" s="52" t="s">
        <v>13</v>
      </c>
      <c r="H255" s="96" t="s">
        <v>14</v>
      </c>
      <c r="I255" s="52" t="s">
        <v>15</v>
      </c>
      <c r="J255" s="1"/>
    </row>
    <row r="256" ht="79.5" customHeight="1">
      <c r="A256" s="78" t="s">
        <v>28</v>
      </c>
      <c r="B256" s="70" t="s">
        <v>20</v>
      </c>
      <c r="C256" s="71" t="s">
        <v>18</v>
      </c>
      <c r="D256" s="71">
        <v>2.6499999999999999</v>
      </c>
      <c r="E256" s="71"/>
      <c r="F256" s="71">
        <v>3.0499999999999998</v>
      </c>
      <c r="G256" s="71"/>
      <c r="H256" s="72">
        <f t="shared" si="4"/>
        <v>8.0824999999999996</v>
      </c>
      <c r="I256" s="78"/>
      <c r="J256" s="1"/>
    </row>
    <row r="257" ht="63" customHeight="1">
      <c r="A257" s="78" t="s">
        <v>29</v>
      </c>
      <c r="B257" s="70" t="s">
        <v>20</v>
      </c>
      <c r="C257" s="71" t="s">
        <v>18</v>
      </c>
      <c r="D257" s="71">
        <v>3.21</v>
      </c>
      <c r="E257" s="71"/>
      <c r="F257" s="71">
        <v>3.0499999999999998</v>
      </c>
      <c r="G257" s="71"/>
      <c r="H257" s="72">
        <f t="shared" si="4"/>
        <v>9.7904999999999998</v>
      </c>
      <c r="I257" s="78"/>
      <c r="J257" s="1"/>
    </row>
    <row r="258" ht="63" customHeight="1">
      <c r="A258" s="78"/>
      <c r="B258" s="70"/>
      <c r="C258" s="71" t="s">
        <v>18</v>
      </c>
      <c r="D258" s="71"/>
      <c r="E258" s="71"/>
      <c r="F258" s="71"/>
      <c r="G258" s="71">
        <v>23.399999999999999</v>
      </c>
      <c r="H258" s="72">
        <f t="shared" si="4"/>
        <v>23.399999999999999</v>
      </c>
      <c r="I258" s="78"/>
      <c r="J258" s="1"/>
    </row>
    <row r="260" ht="14.25">
      <c r="I260" s="3"/>
    </row>
    <row r="261" ht="15" customHeight="1">
      <c r="A261" s="88" t="s">
        <v>0</v>
      </c>
      <c r="B261" s="89"/>
      <c r="C261" s="90"/>
      <c r="D261" s="90"/>
      <c r="E261" s="90"/>
      <c r="F261" s="90"/>
      <c r="G261" s="90"/>
      <c r="H261" s="8" t="s">
        <v>1</v>
      </c>
      <c r="I261" s="9"/>
      <c r="J261" s="1"/>
    </row>
    <row r="262" ht="15" customHeight="1">
      <c r="A262" s="88" t="s">
        <v>2</v>
      </c>
      <c r="B262" s="89" t="s">
        <v>40</v>
      </c>
      <c r="C262" s="90"/>
      <c r="D262" s="90"/>
      <c r="E262" s="90"/>
      <c r="F262" s="90"/>
      <c r="G262" s="90"/>
      <c r="H262" s="14" t="s">
        <v>3</v>
      </c>
      <c r="I262" s="15"/>
      <c r="J262" s="1"/>
    </row>
    <row r="263" ht="33.75" customHeight="1">
      <c r="A263" s="91" t="s">
        <v>4</v>
      </c>
      <c r="B263" s="92" t="s">
        <v>65</v>
      </c>
      <c r="C263" s="93"/>
      <c r="D263" s="93"/>
      <c r="E263" s="93"/>
      <c r="F263" s="93"/>
      <c r="G263" s="93"/>
      <c r="H263" s="94" t="s">
        <v>6</v>
      </c>
      <c r="I263" s="3">
        <f>SUM(H265:H272)</f>
        <v>55.518500000000003</v>
      </c>
      <c r="J263" s="1"/>
      <c r="K263" s="1"/>
    </row>
    <row r="264" ht="15" customHeight="1">
      <c r="A264" s="91" t="s">
        <v>7</v>
      </c>
      <c r="B264" s="95" t="s">
        <v>8</v>
      </c>
      <c r="C264" s="52" t="s">
        <v>9</v>
      </c>
      <c r="D264" s="52" t="s">
        <v>10</v>
      </c>
      <c r="E264" s="52" t="s">
        <v>11</v>
      </c>
      <c r="F264" s="52" t="s">
        <v>12</v>
      </c>
      <c r="G264" s="52" t="s">
        <v>13</v>
      </c>
      <c r="H264" s="96" t="s">
        <v>14</v>
      </c>
      <c r="I264" s="52" t="s">
        <v>15</v>
      </c>
      <c r="J264" s="1"/>
    </row>
    <row r="265" ht="27.75" customHeight="1">
      <c r="A265" s="78" t="s">
        <v>28</v>
      </c>
      <c r="B265" s="70" t="s">
        <v>66</v>
      </c>
      <c r="C265" s="71" t="s">
        <v>18</v>
      </c>
      <c r="D265" s="71">
        <v>2.3500000000000001</v>
      </c>
      <c r="E265" s="71"/>
      <c r="F265" s="71">
        <v>4.0499999999999998</v>
      </c>
      <c r="G265" s="71"/>
      <c r="H265" s="72">
        <f t="shared" si="4"/>
        <v>9.5175000000000001</v>
      </c>
      <c r="I265" s="78"/>
      <c r="J265" s="1"/>
      <c r="K265" s="1" t="s">
        <v>35</v>
      </c>
    </row>
    <row r="266" ht="23.25" customHeight="1">
      <c r="A266" s="78" t="s">
        <v>45</v>
      </c>
      <c r="B266" s="70" t="s">
        <v>66</v>
      </c>
      <c r="C266" s="71" t="s">
        <v>18</v>
      </c>
      <c r="D266" s="71">
        <v>1</v>
      </c>
      <c r="E266" s="71"/>
      <c r="F266" s="71">
        <v>3.0499999999999998</v>
      </c>
      <c r="G266" s="71"/>
      <c r="H266" s="72">
        <f t="shared" si="4"/>
        <v>3.0499999999999998</v>
      </c>
      <c r="I266" s="78"/>
      <c r="J266" s="1"/>
    </row>
    <row r="267" ht="22.5" customHeight="1">
      <c r="A267" s="78" t="s">
        <v>29</v>
      </c>
      <c r="B267" s="70" t="s">
        <v>48</v>
      </c>
      <c r="C267" s="71" t="s">
        <v>18</v>
      </c>
      <c r="D267" s="71">
        <v>1.6100000000000001</v>
      </c>
      <c r="E267" s="71"/>
      <c r="F267" s="71">
        <v>3.0499999999999998</v>
      </c>
      <c r="G267" s="71"/>
      <c r="H267" s="72">
        <f t="shared" si="4"/>
        <v>4.9104999999999999</v>
      </c>
      <c r="I267" s="78"/>
      <c r="J267" s="1"/>
    </row>
    <row r="268" ht="21" customHeight="1">
      <c r="A268" s="78">
        <v>15</v>
      </c>
      <c r="B268" s="78" t="s">
        <v>67</v>
      </c>
      <c r="C268" s="71" t="s">
        <v>18</v>
      </c>
      <c r="D268" s="71">
        <v>3.2000000000000002</v>
      </c>
      <c r="E268" s="71"/>
      <c r="F268" s="71">
        <v>1.95</v>
      </c>
      <c r="G268" s="71"/>
      <c r="H268" s="72">
        <f t="shared" si="4"/>
        <v>6.2400000000000002</v>
      </c>
      <c r="I268" s="78"/>
      <c r="J268" s="1"/>
    </row>
    <row r="269" ht="19.5" customHeight="1">
      <c r="A269" s="78">
        <v>16</v>
      </c>
      <c r="B269" s="78" t="s">
        <v>41</v>
      </c>
      <c r="C269" s="71" t="s">
        <v>18</v>
      </c>
      <c r="D269" s="71">
        <v>3.0099999999999998</v>
      </c>
      <c r="E269" s="71"/>
      <c r="F269" s="71">
        <v>3.0499999999999998</v>
      </c>
      <c r="G269" s="71"/>
      <c r="H269" s="72">
        <f t="shared" si="4"/>
        <v>9.1804999999999986</v>
      </c>
      <c r="I269" s="78"/>
      <c r="J269" s="1"/>
    </row>
    <row r="270" ht="21.75" customHeight="1">
      <c r="A270" s="78" t="s">
        <v>48</v>
      </c>
      <c r="B270" s="78" t="s">
        <v>41</v>
      </c>
      <c r="C270" s="71" t="s">
        <v>18</v>
      </c>
      <c r="D270" s="71">
        <v>3.1000000000000001</v>
      </c>
      <c r="E270" s="71"/>
      <c r="F270" s="71">
        <v>0.80000000000000004</v>
      </c>
      <c r="G270" s="71"/>
      <c r="H270" s="72">
        <f t="shared" si="4"/>
        <v>2.4800000000000004</v>
      </c>
      <c r="I270" s="78"/>
      <c r="J270" s="1"/>
    </row>
    <row r="271" ht="21.75" customHeight="1">
      <c r="A271" s="78"/>
      <c r="B271" s="78"/>
      <c r="C271" s="71" t="s">
        <v>18</v>
      </c>
      <c r="D271" s="71"/>
      <c r="E271" s="71"/>
      <c r="F271" s="71"/>
      <c r="G271" s="71">
        <v>11.640000000000001</v>
      </c>
      <c r="H271" s="72">
        <f t="shared" si="4"/>
        <v>11.640000000000001</v>
      </c>
      <c r="I271" s="78"/>
      <c r="J271" s="1"/>
    </row>
    <row r="272" ht="21.75" customHeight="1">
      <c r="A272" s="78"/>
      <c r="B272" s="78"/>
      <c r="C272" s="71" t="s">
        <v>18</v>
      </c>
      <c r="D272" s="71"/>
      <c r="E272" s="71"/>
      <c r="F272" s="71"/>
      <c r="G272" s="71">
        <v>8.5</v>
      </c>
      <c r="H272" s="72">
        <f t="shared" si="4"/>
        <v>8.5</v>
      </c>
      <c r="I272" s="78"/>
      <c r="J272" s="1"/>
    </row>
    <row r="274" ht="14.25">
      <c r="I274" s="3"/>
    </row>
    <row r="275" ht="15" customHeight="1">
      <c r="A275" s="88" t="s">
        <v>0</v>
      </c>
      <c r="B275" s="89"/>
      <c r="C275" s="90"/>
      <c r="D275" s="90"/>
      <c r="E275" s="90"/>
      <c r="F275" s="90"/>
      <c r="G275" s="90"/>
      <c r="H275" s="8" t="s">
        <v>1</v>
      </c>
      <c r="I275" s="9"/>
      <c r="J275" s="1"/>
    </row>
    <row r="276" ht="15" customHeight="1">
      <c r="A276" s="88" t="s">
        <v>2</v>
      </c>
      <c r="B276" s="89" t="s">
        <v>40</v>
      </c>
      <c r="C276" s="90"/>
      <c r="D276" s="90"/>
      <c r="E276" s="90"/>
      <c r="F276" s="90"/>
      <c r="G276" s="90"/>
      <c r="H276" s="14" t="s">
        <v>3</v>
      </c>
      <c r="I276" s="15"/>
      <c r="J276" s="1"/>
    </row>
    <row r="277" ht="33.75" customHeight="1">
      <c r="A277" s="91" t="s">
        <v>4</v>
      </c>
      <c r="B277" s="92" t="s">
        <v>68</v>
      </c>
      <c r="C277" s="93"/>
      <c r="D277" s="93"/>
      <c r="E277" s="93"/>
      <c r="F277" s="93"/>
      <c r="G277" s="93"/>
      <c r="H277" s="94" t="s">
        <v>6</v>
      </c>
      <c r="I277" s="3">
        <f>SUM(H279:H280)</f>
        <v>19.91</v>
      </c>
      <c r="J277" s="1"/>
      <c r="K277" s="1"/>
    </row>
    <row r="278" ht="15" customHeight="1">
      <c r="A278" s="91" t="s">
        <v>7</v>
      </c>
      <c r="B278" s="95" t="s">
        <v>8</v>
      </c>
      <c r="C278" s="52" t="s">
        <v>9</v>
      </c>
      <c r="D278" s="52" t="s">
        <v>10</v>
      </c>
      <c r="E278" s="52" t="s">
        <v>11</v>
      </c>
      <c r="F278" s="52" t="s">
        <v>12</v>
      </c>
      <c r="G278" s="52" t="s">
        <v>13</v>
      </c>
      <c r="H278" s="96" t="s">
        <v>14</v>
      </c>
      <c r="I278" s="52" t="s">
        <v>15</v>
      </c>
      <c r="J278" s="1"/>
    </row>
    <row r="279" ht="85.5" customHeight="1">
      <c r="A279" s="78"/>
      <c r="B279" s="70"/>
      <c r="C279" s="71"/>
      <c r="D279" s="71"/>
      <c r="E279" s="71"/>
      <c r="F279" s="71"/>
      <c r="G279" s="71">
        <v>8.6600000000000001</v>
      </c>
      <c r="H279" s="72">
        <f t="shared" ref="H278:H341" si="5">PRODUCT(D279:G279)</f>
        <v>8.6600000000000001</v>
      </c>
      <c r="I279" s="78" t="s">
        <v>69</v>
      </c>
      <c r="J279" s="1"/>
    </row>
    <row r="280" ht="78.75" customHeight="1">
      <c r="A280" s="78"/>
      <c r="B280" s="70"/>
      <c r="C280" s="71"/>
      <c r="D280" s="71"/>
      <c r="E280" s="71"/>
      <c r="F280" s="71"/>
      <c r="G280" s="71">
        <v>11.25</v>
      </c>
      <c r="H280" s="72">
        <f t="shared" si="5"/>
        <v>11.25</v>
      </c>
      <c r="I280" s="78" t="s">
        <v>70</v>
      </c>
      <c r="J280" s="1"/>
    </row>
    <row r="283" ht="15" customHeight="1">
      <c r="A283" s="88" t="s">
        <v>0</v>
      </c>
      <c r="B283" s="89"/>
      <c r="C283" s="90"/>
      <c r="D283" s="90"/>
      <c r="E283" s="90"/>
      <c r="F283" s="90"/>
      <c r="G283" s="90"/>
      <c r="H283" s="8" t="s">
        <v>1</v>
      </c>
      <c r="I283" s="9"/>
      <c r="J283" s="1"/>
    </row>
    <row r="284" ht="15" customHeight="1">
      <c r="A284" s="88" t="s">
        <v>2</v>
      </c>
      <c r="B284" s="89" t="s">
        <v>40</v>
      </c>
      <c r="C284" s="90"/>
      <c r="D284" s="90"/>
      <c r="E284" s="90"/>
      <c r="F284" s="90"/>
      <c r="G284" s="90"/>
      <c r="H284" s="14" t="s">
        <v>3</v>
      </c>
      <c r="I284" s="15"/>
      <c r="J284" s="1"/>
    </row>
    <row r="285" ht="33.75" customHeight="1">
      <c r="A285" s="91" t="s">
        <v>4</v>
      </c>
      <c r="B285" s="92" t="s">
        <v>71</v>
      </c>
      <c r="C285" s="93"/>
      <c r="D285" s="93"/>
      <c r="E285" s="93"/>
      <c r="F285" s="93"/>
      <c r="G285" s="93"/>
      <c r="H285" s="94" t="s">
        <v>6</v>
      </c>
      <c r="I285" s="3">
        <f>SUM(H287:H288)</f>
        <v>19.91</v>
      </c>
      <c r="J285" s="1"/>
      <c r="K285" s="1"/>
    </row>
    <row r="286" ht="15" customHeight="1">
      <c r="A286" s="91" t="s">
        <v>7</v>
      </c>
      <c r="B286" s="95" t="s">
        <v>8</v>
      </c>
      <c r="C286" s="52" t="s">
        <v>9</v>
      </c>
      <c r="D286" s="52" t="s">
        <v>10</v>
      </c>
      <c r="E286" s="52" t="s">
        <v>11</v>
      </c>
      <c r="F286" s="52" t="s">
        <v>12</v>
      </c>
      <c r="G286" s="52" t="s">
        <v>13</v>
      </c>
      <c r="H286" s="96" t="s">
        <v>14</v>
      </c>
      <c r="I286" s="52" t="s">
        <v>15</v>
      </c>
      <c r="J286" s="1"/>
    </row>
    <row r="287" ht="62.25" customHeight="1">
      <c r="A287" s="78"/>
      <c r="B287" s="70"/>
      <c r="C287" s="71"/>
      <c r="D287" s="71"/>
      <c r="E287" s="71"/>
      <c r="F287" s="71"/>
      <c r="G287" s="71">
        <v>8.6600000000000001</v>
      </c>
      <c r="H287" s="72">
        <f t="shared" si="5"/>
        <v>8.6600000000000001</v>
      </c>
      <c r="I287" s="78" t="s">
        <v>69</v>
      </c>
      <c r="J287" s="1"/>
    </row>
    <row r="288" ht="60.75" customHeight="1">
      <c r="A288" s="78"/>
      <c r="B288" s="70"/>
      <c r="C288" s="71"/>
      <c r="D288" s="71"/>
      <c r="E288" s="71"/>
      <c r="F288" s="71"/>
      <c r="G288" s="71">
        <v>11.25</v>
      </c>
      <c r="H288" s="72">
        <f t="shared" si="5"/>
        <v>11.25</v>
      </c>
      <c r="I288" s="78" t="s">
        <v>70</v>
      </c>
      <c r="J288" s="1"/>
    </row>
    <row r="291" ht="15" customHeight="1">
      <c r="A291" s="88" t="s">
        <v>0</v>
      </c>
      <c r="B291" s="89"/>
      <c r="C291" s="90"/>
      <c r="D291" s="90"/>
      <c r="E291" s="90"/>
      <c r="F291" s="90"/>
      <c r="G291" s="90"/>
      <c r="H291" s="8" t="s">
        <v>1</v>
      </c>
      <c r="I291" s="9"/>
      <c r="J291" s="1"/>
    </row>
    <row r="292" ht="15" customHeight="1">
      <c r="A292" s="88" t="s">
        <v>2</v>
      </c>
      <c r="B292" s="89" t="s">
        <v>40</v>
      </c>
      <c r="C292" s="90"/>
      <c r="D292" s="90"/>
      <c r="E292" s="90"/>
      <c r="F292" s="90"/>
      <c r="G292" s="90"/>
      <c r="H292" s="14" t="s">
        <v>3</v>
      </c>
      <c r="I292" s="15"/>
      <c r="J292" s="1"/>
    </row>
    <row r="293" ht="33.75" customHeight="1">
      <c r="A293" s="91" t="s">
        <v>4</v>
      </c>
      <c r="B293" s="92" t="s">
        <v>72</v>
      </c>
      <c r="C293" s="93"/>
      <c r="D293" s="93"/>
      <c r="E293" s="93"/>
      <c r="F293" s="93"/>
      <c r="G293" s="93"/>
      <c r="H293" s="94" t="s">
        <v>6</v>
      </c>
      <c r="I293" s="3">
        <f>SUM(H295:H298)</f>
        <v>6.0199999999999996</v>
      </c>
      <c r="J293" s="1"/>
      <c r="K293" s="1"/>
    </row>
    <row r="294" ht="15" customHeight="1">
      <c r="A294" s="91" t="s">
        <v>7</v>
      </c>
      <c r="B294" s="95" t="s">
        <v>8</v>
      </c>
      <c r="C294" s="52" t="s">
        <v>9</v>
      </c>
      <c r="D294" s="52" t="s">
        <v>10</v>
      </c>
      <c r="E294" s="52" t="s">
        <v>11</v>
      </c>
      <c r="F294" s="52" t="s">
        <v>12</v>
      </c>
      <c r="G294" s="52" t="s">
        <v>13</v>
      </c>
      <c r="H294" s="96" t="s">
        <v>14</v>
      </c>
      <c r="I294" s="52" t="s">
        <v>15</v>
      </c>
      <c r="J294" s="1"/>
    </row>
    <row r="295" ht="41.25" customHeight="1">
      <c r="A295" s="78" t="s">
        <v>28</v>
      </c>
      <c r="B295" s="70" t="s">
        <v>73</v>
      </c>
      <c r="C295" s="71"/>
      <c r="D295" s="71">
        <v>1.7</v>
      </c>
      <c r="E295" s="71"/>
      <c r="F295" s="71"/>
      <c r="G295" s="71"/>
      <c r="H295" s="72">
        <f t="shared" si="5"/>
        <v>1.7</v>
      </c>
      <c r="I295" s="78" t="s">
        <v>74</v>
      </c>
      <c r="J295" s="1"/>
    </row>
    <row r="296" ht="33" customHeight="1">
      <c r="A296" s="78" t="s">
        <v>45</v>
      </c>
      <c r="B296" s="70" t="s">
        <v>73</v>
      </c>
      <c r="C296" s="71"/>
      <c r="D296" s="71">
        <v>1.2</v>
      </c>
      <c r="E296" s="71"/>
      <c r="F296" s="71"/>
      <c r="G296" s="71"/>
      <c r="H296" s="72">
        <f t="shared" si="5"/>
        <v>1.2</v>
      </c>
      <c r="I296" s="78" t="s">
        <v>74</v>
      </c>
      <c r="J296" s="1"/>
    </row>
    <row r="297" ht="33.75" customHeight="1">
      <c r="A297" s="78" t="s">
        <v>28</v>
      </c>
      <c r="B297" s="70" t="s">
        <v>66</v>
      </c>
      <c r="C297" s="71"/>
      <c r="D297" s="71">
        <v>2.3199999999999998</v>
      </c>
      <c r="E297" s="71"/>
      <c r="F297" s="71"/>
      <c r="G297" s="71"/>
      <c r="H297" s="72">
        <f t="shared" si="5"/>
        <v>2.3199999999999998</v>
      </c>
      <c r="I297" s="78" t="s">
        <v>70</v>
      </c>
      <c r="J297" s="1"/>
    </row>
    <row r="298" ht="36.75" customHeight="1">
      <c r="A298" s="78" t="s">
        <v>45</v>
      </c>
      <c r="B298" s="70" t="s">
        <v>75</v>
      </c>
      <c r="C298" s="71"/>
      <c r="D298" s="71">
        <v>0.80000000000000004</v>
      </c>
      <c r="E298" s="71"/>
      <c r="F298" s="71"/>
      <c r="G298" s="71"/>
      <c r="H298" s="72">
        <f t="shared" si="5"/>
        <v>0.80000000000000004</v>
      </c>
      <c r="I298" s="78" t="s">
        <v>70</v>
      </c>
      <c r="J298" s="1"/>
    </row>
    <row r="301" ht="15" customHeight="1">
      <c r="A301" s="88" t="s">
        <v>0</v>
      </c>
      <c r="B301" s="89"/>
      <c r="C301" s="90"/>
      <c r="D301" s="90"/>
      <c r="E301" s="90"/>
      <c r="F301" s="90"/>
      <c r="G301" s="90"/>
      <c r="H301" s="8" t="s">
        <v>1</v>
      </c>
      <c r="I301" s="9"/>
      <c r="J301" s="1"/>
    </row>
    <row r="302" ht="15" customHeight="1">
      <c r="A302" s="88" t="s">
        <v>2</v>
      </c>
      <c r="B302" s="89"/>
      <c r="C302" s="90"/>
      <c r="D302" s="90"/>
      <c r="E302" s="90"/>
      <c r="F302" s="90"/>
      <c r="G302" s="90"/>
      <c r="H302" s="14" t="s">
        <v>3</v>
      </c>
      <c r="I302" s="15"/>
      <c r="J302" s="1"/>
    </row>
    <row r="303" ht="33.75" customHeight="1">
      <c r="A303" s="91" t="s">
        <v>4</v>
      </c>
      <c r="B303" s="92" t="s">
        <v>76</v>
      </c>
      <c r="C303" s="93"/>
      <c r="D303" s="93"/>
      <c r="E303" s="93"/>
      <c r="F303" s="93"/>
      <c r="G303" s="93"/>
      <c r="H303" s="94" t="s">
        <v>6</v>
      </c>
      <c r="I303" s="3">
        <f>SUM(H305:H307)</f>
        <v>41.272999999999996</v>
      </c>
      <c r="J303" s="1"/>
      <c r="K303" s="1"/>
    </row>
    <row r="304" ht="15" customHeight="1">
      <c r="A304" s="91" t="s">
        <v>7</v>
      </c>
      <c r="B304" s="95" t="s">
        <v>8</v>
      </c>
      <c r="C304" s="52" t="s">
        <v>9</v>
      </c>
      <c r="D304" s="52" t="s">
        <v>10</v>
      </c>
      <c r="E304" s="52" t="s">
        <v>11</v>
      </c>
      <c r="F304" s="52" t="s">
        <v>12</v>
      </c>
      <c r="G304" s="52" t="s">
        <v>13</v>
      </c>
      <c r="H304" s="96" t="s">
        <v>14</v>
      </c>
      <c r="I304" s="52" t="s">
        <v>15</v>
      </c>
      <c r="J304" s="1"/>
    </row>
    <row r="305" ht="59.25" customHeight="1">
      <c r="A305" s="78" t="s">
        <v>28</v>
      </c>
      <c r="B305" s="70" t="s">
        <v>20</v>
      </c>
      <c r="C305" s="71" t="s">
        <v>18</v>
      </c>
      <c r="D305" s="71">
        <v>2.6499999999999999</v>
      </c>
      <c r="E305" s="71"/>
      <c r="F305" s="71">
        <v>3.0499999999999998</v>
      </c>
      <c r="G305" s="71"/>
      <c r="H305" s="72">
        <f t="shared" si="5"/>
        <v>8.0824999999999996</v>
      </c>
      <c r="I305" s="78"/>
      <c r="J305" s="1"/>
    </row>
    <row r="306" ht="51.75" customHeight="1">
      <c r="A306" s="78" t="s">
        <v>29</v>
      </c>
      <c r="B306" s="70" t="s">
        <v>20</v>
      </c>
      <c r="C306" s="71" t="s">
        <v>18</v>
      </c>
      <c r="D306" s="71">
        <v>3.21</v>
      </c>
      <c r="E306" s="71"/>
      <c r="F306" s="71">
        <v>3.0499999999999998</v>
      </c>
      <c r="G306" s="71"/>
      <c r="H306" s="72">
        <f t="shared" si="5"/>
        <v>9.7904999999999998</v>
      </c>
      <c r="I306" s="78"/>
      <c r="J306" s="1"/>
    </row>
    <row r="307" ht="51.75" customHeight="1">
      <c r="A307" s="78"/>
      <c r="B307" s="70"/>
      <c r="C307" s="71" t="s">
        <v>18</v>
      </c>
      <c r="D307" s="71"/>
      <c r="E307" s="71"/>
      <c r="F307" s="71"/>
      <c r="G307" s="71">
        <v>23.399999999999999</v>
      </c>
      <c r="H307" s="72">
        <f t="shared" si="5"/>
        <v>23.399999999999999</v>
      </c>
      <c r="I307" s="78"/>
      <c r="J307" s="1"/>
    </row>
    <row r="308" ht="18" customHeight="1">
      <c r="A308" s="3"/>
      <c r="B308" s="51"/>
      <c r="C308" s="52"/>
      <c r="D308" s="52"/>
      <c r="E308" s="52"/>
      <c r="F308" s="52"/>
      <c r="G308" s="52"/>
      <c r="H308" s="53"/>
      <c r="I308" s="97"/>
      <c r="J308" s="1"/>
    </row>
    <row r="309" ht="18" customHeight="1">
      <c r="A309" s="3"/>
      <c r="B309" s="51"/>
      <c r="C309" s="52"/>
      <c r="D309" s="52"/>
      <c r="E309" s="52"/>
      <c r="F309" s="52"/>
      <c r="G309" s="52"/>
      <c r="H309" s="53"/>
      <c r="I309" s="97"/>
      <c r="J309" s="1"/>
    </row>
    <row r="310" ht="18" customHeight="1">
      <c r="A310" s="88" t="s">
        <v>0</v>
      </c>
      <c r="B310" s="89"/>
      <c r="C310" s="90"/>
      <c r="D310" s="90"/>
      <c r="E310" s="90"/>
      <c r="F310" s="90"/>
      <c r="G310" s="90"/>
      <c r="H310" s="8" t="s">
        <v>1</v>
      </c>
      <c r="I310" s="9"/>
      <c r="J310" s="1"/>
    </row>
    <row r="311" ht="18" customHeight="1">
      <c r="A311" s="88" t="s">
        <v>2</v>
      </c>
      <c r="B311" s="89" t="s">
        <v>40</v>
      </c>
      <c r="C311" s="90"/>
      <c r="D311" s="90"/>
      <c r="E311" s="90"/>
      <c r="F311" s="90"/>
      <c r="G311" s="90"/>
      <c r="H311" s="14" t="s">
        <v>3</v>
      </c>
      <c r="I311" s="15"/>
      <c r="J311" s="1"/>
    </row>
    <row r="312" ht="33.75" customHeight="1">
      <c r="A312" s="91" t="s">
        <v>4</v>
      </c>
      <c r="B312" s="92" t="s">
        <v>76</v>
      </c>
      <c r="C312" s="93"/>
      <c r="D312" s="93"/>
      <c r="E312" s="93"/>
      <c r="F312" s="93"/>
      <c r="G312" s="93"/>
      <c r="H312" s="94" t="s">
        <v>6</v>
      </c>
      <c r="I312" s="3">
        <f>SUM(H314:H321)</f>
        <v>55.698500000000003</v>
      </c>
      <c r="J312" s="1"/>
      <c r="K312" s="1"/>
    </row>
    <row r="313" ht="15" customHeight="1">
      <c r="A313" s="91" t="s">
        <v>7</v>
      </c>
      <c r="B313" s="95" t="s">
        <v>8</v>
      </c>
      <c r="C313" s="52" t="s">
        <v>9</v>
      </c>
      <c r="D313" s="52" t="s">
        <v>10</v>
      </c>
      <c r="E313" s="52" t="s">
        <v>11</v>
      </c>
      <c r="F313" s="52" t="s">
        <v>12</v>
      </c>
      <c r="G313" s="52" t="s">
        <v>13</v>
      </c>
      <c r="H313" s="96" t="s">
        <v>14</v>
      </c>
      <c r="I313" s="52" t="s">
        <v>15</v>
      </c>
      <c r="J313" s="1"/>
    </row>
    <row r="314" ht="18" customHeight="1">
      <c r="A314" s="78" t="s">
        <v>28</v>
      </c>
      <c r="B314" s="70" t="s">
        <v>66</v>
      </c>
      <c r="C314" s="71"/>
      <c r="D314" s="71">
        <v>2.3500000000000001</v>
      </c>
      <c r="E314" s="71"/>
      <c r="F314" s="71">
        <v>4.0499999999999998</v>
      </c>
      <c r="G314" s="71"/>
      <c r="H314" s="72">
        <f t="shared" si="5"/>
        <v>9.5175000000000001</v>
      </c>
      <c r="I314" s="78"/>
      <c r="J314" s="1"/>
    </row>
    <row r="315" ht="18" customHeight="1">
      <c r="A315" s="78" t="s">
        <v>45</v>
      </c>
      <c r="B315" s="70" t="s">
        <v>66</v>
      </c>
      <c r="C315" s="71"/>
      <c r="D315" s="71">
        <v>1</v>
      </c>
      <c r="E315" s="71"/>
      <c r="F315" s="71">
        <v>3.0499999999999998</v>
      </c>
      <c r="G315" s="71"/>
      <c r="H315" s="72">
        <f t="shared" si="5"/>
        <v>3.0499999999999998</v>
      </c>
      <c r="I315" s="78"/>
      <c r="J315" s="1"/>
    </row>
    <row r="316" ht="18" customHeight="1">
      <c r="A316" s="78" t="s">
        <v>29</v>
      </c>
      <c r="B316" s="70" t="s">
        <v>48</v>
      </c>
      <c r="C316" s="98"/>
      <c r="D316" s="71">
        <v>1.6100000000000001</v>
      </c>
      <c r="E316" s="71"/>
      <c r="F316" s="71">
        <v>3.0499999999999998</v>
      </c>
      <c r="G316" s="71"/>
      <c r="H316" s="72">
        <f t="shared" si="5"/>
        <v>4.9104999999999999</v>
      </c>
      <c r="I316" s="78"/>
      <c r="J316" s="1"/>
    </row>
    <row r="317" ht="18" customHeight="1">
      <c r="A317" s="78">
        <v>15</v>
      </c>
      <c r="B317" s="78" t="s">
        <v>67</v>
      </c>
      <c r="C317" s="98"/>
      <c r="D317" s="71">
        <v>3.2000000000000002</v>
      </c>
      <c r="E317" s="71"/>
      <c r="F317" s="71">
        <v>1.95</v>
      </c>
      <c r="G317" s="71"/>
      <c r="H317" s="72">
        <f t="shared" si="5"/>
        <v>6.2400000000000002</v>
      </c>
      <c r="I317" s="99"/>
      <c r="J317" s="1"/>
    </row>
    <row r="318" ht="18" customHeight="1">
      <c r="A318" s="78">
        <v>16</v>
      </c>
      <c r="B318" s="78" t="s">
        <v>41</v>
      </c>
      <c r="C318" s="98"/>
      <c r="D318" s="71">
        <v>3.0099999999999998</v>
      </c>
      <c r="E318" s="71"/>
      <c r="F318" s="71">
        <v>3.0499999999999998</v>
      </c>
      <c r="G318" s="71"/>
      <c r="H318" s="72">
        <f t="shared" si="5"/>
        <v>9.1804999999999986</v>
      </c>
      <c r="I318" s="99"/>
      <c r="J318" s="1"/>
    </row>
    <row r="319" ht="18" customHeight="1">
      <c r="A319" s="78" t="s">
        <v>48</v>
      </c>
      <c r="B319" s="78" t="s">
        <v>41</v>
      </c>
      <c r="C319" s="98"/>
      <c r="D319" s="71">
        <v>3.1000000000000001</v>
      </c>
      <c r="E319" s="71"/>
      <c r="F319" s="71">
        <v>0.80000000000000004</v>
      </c>
      <c r="G319" s="71"/>
      <c r="H319" s="72">
        <f t="shared" si="5"/>
        <v>2.4800000000000004</v>
      </c>
      <c r="I319" s="99"/>
      <c r="J319" s="1"/>
    </row>
    <row r="320" ht="18" customHeight="1">
      <c r="A320" s="78"/>
      <c r="B320" s="78"/>
      <c r="C320" s="71" t="s">
        <v>18</v>
      </c>
      <c r="D320" s="71"/>
      <c r="E320" s="71"/>
      <c r="F320" s="71"/>
      <c r="G320" s="71">
        <v>11.640000000000001</v>
      </c>
      <c r="H320" s="72">
        <f t="shared" si="5"/>
        <v>11.640000000000001</v>
      </c>
      <c r="I320" s="99"/>
      <c r="J320" s="1"/>
    </row>
    <row r="321" ht="18" customHeight="1">
      <c r="A321" s="78"/>
      <c r="B321" s="78"/>
      <c r="C321" s="71" t="s">
        <v>18</v>
      </c>
      <c r="D321" s="71"/>
      <c r="E321" s="71"/>
      <c r="F321" s="71"/>
      <c r="G321" s="71">
        <v>8.6799999999999997</v>
      </c>
      <c r="H321" s="72">
        <f t="shared" si="5"/>
        <v>8.6799999999999997</v>
      </c>
      <c r="I321" s="99"/>
      <c r="J321" s="1"/>
    </row>
    <row r="322" ht="18" customHeight="1">
      <c r="A322" s="3"/>
      <c r="B322" s="3"/>
      <c r="D322" s="52"/>
      <c r="E322" s="52"/>
      <c r="F322" s="52"/>
      <c r="G322" s="52"/>
      <c r="H322" s="53"/>
      <c r="I322" s="97"/>
      <c r="J322" s="1"/>
    </row>
    <row r="323" ht="18" customHeight="1">
      <c r="A323" s="3"/>
      <c r="B323" s="51"/>
      <c r="C323" s="52"/>
      <c r="D323" s="52"/>
      <c r="E323" s="52"/>
      <c r="F323" s="52"/>
      <c r="G323" s="52"/>
      <c r="H323" s="53"/>
      <c r="I323" s="97"/>
      <c r="J323" s="1"/>
    </row>
    <row r="324" ht="15" customHeight="1">
      <c r="A324" s="88" t="s">
        <v>0</v>
      </c>
      <c r="B324" s="89"/>
      <c r="C324" s="90"/>
      <c r="D324" s="90"/>
      <c r="E324" s="90"/>
      <c r="F324" s="90"/>
      <c r="G324" s="90"/>
      <c r="H324" s="8" t="s">
        <v>1</v>
      </c>
      <c r="I324" s="9"/>
      <c r="J324" s="1"/>
    </row>
    <row r="325" ht="15" customHeight="1">
      <c r="A325" s="88" t="s">
        <v>2</v>
      </c>
      <c r="B325" s="89"/>
      <c r="C325" s="90"/>
      <c r="D325" s="90"/>
      <c r="E325" s="90"/>
      <c r="F325" s="90"/>
      <c r="G325" s="90"/>
      <c r="H325" s="14" t="s">
        <v>3</v>
      </c>
      <c r="I325" s="15"/>
      <c r="J325" s="1"/>
    </row>
    <row r="326" ht="48" customHeight="1">
      <c r="A326" s="91" t="s">
        <v>4</v>
      </c>
      <c r="B326" s="92" t="s">
        <v>77</v>
      </c>
      <c r="C326" s="93"/>
      <c r="D326" s="93"/>
      <c r="E326" s="93"/>
      <c r="F326" s="93"/>
      <c r="G326" s="93"/>
      <c r="H326" s="94" t="s">
        <v>6</v>
      </c>
      <c r="I326" s="3">
        <f>SUM(H328:H328)</f>
        <v>20.32</v>
      </c>
      <c r="J326" s="1"/>
      <c r="K326" s="1"/>
    </row>
    <row r="327" ht="15" customHeight="1">
      <c r="A327" s="91" t="s">
        <v>7</v>
      </c>
      <c r="B327" s="95" t="s">
        <v>8</v>
      </c>
      <c r="C327" s="52" t="s">
        <v>9</v>
      </c>
      <c r="D327" s="52" t="s">
        <v>10</v>
      </c>
      <c r="E327" s="52" t="s">
        <v>11</v>
      </c>
      <c r="F327" s="52" t="s">
        <v>12</v>
      </c>
      <c r="G327" s="52" t="s">
        <v>13</v>
      </c>
      <c r="H327" s="96" t="s">
        <v>14</v>
      </c>
      <c r="I327" s="52" t="s">
        <v>15</v>
      </c>
      <c r="J327" s="1"/>
    </row>
    <row r="328" ht="206.25" customHeight="1">
      <c r="A328" s="78"/>
      <c r="B328" s="70"/>
      <c r="C328" s="71"/>
      <c r="D328" s="71"/>
      <c r="E328" s="71"/>
      <c r="F328" s="71"/>
      <c r="G328" s="71">
        <v>20.32</v>
      </c>
      <c r="H328" s="72">
        <f t="shared" si="5"/>
        <v>20.32</v>
      </c>
      <c r="I328" s="78"/>
      <c r="J328" s="1"/>
    </row>
    <row r="331" ht="15.75" customHeight="1">
      <c r="A331" s="88" t="s">
        <v>0</v>
      </c>
      <c r="B331" s="89"/>
      <c r="C331" s="90"/>
      <c r="D331" s="90"/>
      <c r="E331" s="90"/>
      <c r="F331" s="90"/>
      <c r="G331" s="90"/>
      <c r="H331" s="8" t="s">
        <v>1</v>
      </c>
      <c r="I331" s="9"/>
      <c r="J331" s="1"/>
    </row>
    <row r="332" ht="15" customHeight="1">
      <c r="A332" s="88" t="s">
        <v>2</v>
      </c>
      <c r="B332" s="89"/>
      <c r="C332" s="90"/>
      <c r="D332" s="90"/>
      <c r="E332" s="90"/>
      <c r="F332" s="90"/>
      <c r="G332" s="90"/>
      <c r="H332" s="14" t="s">
        <v>3</v>
      </c>
      <c r="I332" s="15"/>
      <c r="J332" s="1"/>
    </row>
    <row r="333" ht="48" customHeight="1">
      <c r="A333" s="91" t="s">
        <v>4</v>
      </c>
      <c r="B333" s="92" t="s">
        <v>78</v>
      </c>
      <c r="C333" s="93"/>
      <c r="D333" s="93"/>
      <c r="E333" s="93"/>
      <c r="F333" s="93"/>
      <c r="G333" s="93"/>
      <c r="H333" s="94" t="s">
        <v>6</v>
      </c>
      <c r="I333" s="3">
        <f>SUM(H335:H335)</f>
        <v>6</v>
      </c>
      <c r="J333" s="1"/>
      <c r="K333" s="1"/>
    </row>
    <row r="334" ht="15" customHeight="1">
      <c r="A334" s="91" t="s">
        <v>7</v>
      </c>
      <c r="B334" s="95" t="s">
        <v>8</v>
      </c>
      <c r="C334" s="52" t="s">
        <v>9</v>
      </c>
      <c r="D334" s="52" t="s">
        <v>10</v>
      </c>
      <c r="E334" s="52" t="s">
        <v>11</v>
      </c>
      <c r="F334" s="52" t="s">
        <v>12</v>
      </c>
      <c r="G334" s="52" t="s">
        <v>13</v>
      </c>
      <c r="H334" s="96" t="s">
        <v>14</v>
      </c>
      <c r="I334" s="52" t="s">
        <v>15</v>
      </c>
      <c r="J334" s="1"/>
    </row>
    <row r="335" ht="216.75" customHeight="1">
      <c r="A335" s="78"/>
      <c r="B335" s="70"/>
      <c r="C335" s="71"/>
      <c r="D335" s="71"/>
      <c r="E335" s="71"/>
      <c r="F335" s="71"/>
      <c r="G335" s="71">
        <v>6</v>
      </c>
      <c r="H335" s="72">
        <f t="shared" si="5"/>
        <v>6</v>
      </c>
      <c r="I335" s="78"/>
      <c r="J335" s="1"/>
    </row>
    <row r="338" ht="15" customHeight="1">
      <c r="A338" s="88" t="s">
        <v>0</v>
      </c>
      <c r="B338" s="89"/>
      <c r="C338" s="90"/>
      <c r="D338" s="90"/>
      <c r="E338" s="90"/>
      <c r="F338" s="90"/>
      <c r="G338" s="90"/>
      <c r="H338" s="8" t="s">
        <v>1</v>
      </c>
      <c r="I338" s="9"/>
      <c r="J338" s="1"/>
    </row>
    <row r="339" ht="15" customHeight="1">
      <c r="A339" s="88" t="s">
        <v>2</v>
      </c>
      <c r="B339" s="89" t="s">
        <v>40</v>
      </c>
      <c r="C339" s="90"/>
      <c r="D339" s="90"/>
      <c r="E339" s="90"/>
      <c r="F339" s="90"/>
      <c r="G339" s="90"/>
      <c r="H339" s="14" t="s">
        <v>3</v>
      </c>
      <c r="I339" s="15"/>
      <c r="J339" s="1"/>
    </row>
    <row r="340" ht="48" customHeight="1">
      <c r="A340" s="91" t="s">
        <v>4</v>
      </c>
      <c r="B340" s="92" t="s">
        <v>78</v>
      </c>
      <c r="C340" s="93"/>
      <c r="D340" s="93"/>
      <c r="E340" s="93"/>
      <c r="F340" s="93"/>
      <c r="G340" s="93"/>
      <c r="H340" s="94" t="s">
        <v>6</v>
      </c>
      <c r="I340" s="3">
        <f>SUM(H342:H342)</f>
        <v>6</v>
      </c>
      <c r="J340" s="1"/>
      <c r="K340" s="1"/>
    </row>
    <row r="341" ht="15" customHeight="1">
      <c r="A341" s="91" t="s">
        <v>7</v>
      </c>
      <c r="B341" s="95" t="s">
        <v>8</v>
      </c>
      <c r="C341" s="52" t="s">
        <v>9</v>
      </c>
      <c r="D341" s="52" t="s">
        <v>10</v>
      </c>
      <c r="E341" s="52" t="s">
        <v>11</v>
      </c>
      <c r="F341" s="52" t="s">
        <v>12</v>
      </c>
      <c r="G341" s="52" t="s">
        <v>13</v>
      </c>
      <c r="H341" s="96" t="s">
        <v>14</v>
      </c>
      <c r="I341" s="52" t="s">
        <v>15</v>
      </c>
      <c r="J341" s="1"/>
    </row>
    <row r="342" ht="219.75" customHeight="1">
      <c r="A342" s="78"/>
      <c r="B342" s="70"/>
      <c r="C342" s="71"/>
      <c r="D342" s="71"/>
      <c r="E342" s="71"/>
      <c r="F342" s="71"/>
      <c r="G342" s="71">
        <v>6</v>
      </c>
      <c r="H342" s="72">
        <f t="shared" ref="H342:H393" si="6">PRODUCT(D342:G342)</f>
        <v>6</v>
      </c>
      <c r="I342" s="78"/>
      <c r="J342" s="1"/>
    </row>
    <row r="345" ht="15" customHeight="1">
      <c r="A345" s="88" t="s">
        <v>0</v>
      </c>
      <c r="B345" s="89"/>
      <c r="C345" s="90"/>
      <c r="D345" s="90"/>
      <c r="E345" s="90"/>
      <c r="F345" s="90"/>
      <c r="G345" s="90"/>
      <c r="H345" s="8" t="s">
        <v>1</v>
      </c>
      <c r="I345" s="9"/>
      <c r="J345" s="1"/>
    </row>
    <row r="346" ht="15" customHeight="1">
      <c r="A346" s="88" t="s">
        <v>2</v>
      </c>
      <c r="B346" s="89"/>
      <c r="C346" s="90"/>
      <c r="D346" s="90"/>
      <c r="E346" s="90"/>
      <c r="F346" s="90"/>
      <c r="G346" s="90"/>
      <c r="H346" s="14" t="s">
        <v>3</v>
      </c>
      <c r="I346" s="15"/>
      <c r="J346" s="1"/>
    </row>
    <row r="347" ht="19.5" customHeight="1">
      <c r="A347" s="91" t="s">
        <v>4</v>
      </c>
      <c r="B347" s="92" t="s">
        <v>79</v>
      </c>
      <c r="C347" s="93"/>
      <c r="D347" s="93"/>
      <c r="E347" s="93"/>
      <c r="F347" s="93"/>
      <c r="G347" s="93"/>
      <c r="H347" s="94" t="s">
        <v>6</v>
      </c>
      <c r="I347" s="3">
        <f>SUM(H349:H349)</f>
        <v>1</v>
      </c>
      <c r="J347" s="1"/>
      <c r="K347" s="1"/>
    </row>
    <row r="348" ht="15" customHeight="1">
      <c r="A348" s="91" t="s">
        <v>7</v>
      </c>
      <c r="B348" s="95" t="s">
        <v>8</v>
      </c>
      <c r="C348" s="52" t="s">
        <v>9</v>
      </c>
      <c r="D348" s="52" t="s">
        <v>10</v>
      </c>
      <c r="E348" s="52" t="s">
        <v>11</v>
      </c>
      <c r="F348" s="52" t="s">
        <v>12</v>
      </c>
      <c r="G348" s="52" t="s">
        <v>13</v>
      </c>
      <c r="H348" s="96" t="s">
        <v>14</v>
      </c>
      <c r="I348" s="52" t="s">
        <v>15</v>
      </c>
      <c r="J348" s="1"/>
    </row>
    <row r="349" ht="75" customHeight="1">
      <c r="A349" s="78"/>
      <c r="B349" s="70"/>
      <c r="C349" s="71"/>
      <c r="D349" s="71"/>
      <c r="E349" s="71"/>
      <c r="F349" s="71"/>
      <c r="G349" s="71">
        <v>1</v>
      </c>
      <c r="H349" s="72">
        <f t="shared" si="6"/>
        <v>1</v>
      </c>
      <c r="I349" s="78"/>
      <c r="J349" s="1"/>
    </row>
    <row r="352" ht="15" customHeight="1">
      <c r="A352" s="88" t="s">
        <v>0</v>
      </c>
      <c r="B352" s="89"/>
      <c r="C352" s="90"/>
      <c r="D352" s="90"/>
      <c r="E352" s="90"/>
      <c r="F352" s="90"/>
      <c r="G352" s="90"/>
      <c r="H352" s="100" t="s">
        <v>1</v>
      </c>
      <c r="I352" s="101" t="s">
        <v>3</v>
      </c>
      <c r="J352" s="1"/>
    </row>
    <row r="353" ht="15" customHeight="1">
      <c r="A353" s="88" t="s">
        <v>2</v>
      </c>
      <c r="B353" s="89" t="s">
        <v>40</v>
      </c>
      <c r="C353" s="90"/>
      <c r="D353" s="90"/>
      <c r="E353" s="90"/>
      <c r="F353" s="90"/>
      <c r="G353" s="90"/>
      <c r="H353" s="90"/>
      <c r="I353" s="101"/>
      <c r="J353" s="1"/>
    </row>
    <row r="354" ht="19.5" customHeight="1">
      <c r="A354" s="91" t="s">
        <v>4</v>
      </c>
      <c r="B354" s="92" t="s">
        <v>79</v>
      </c>
      <c r="C354" s="93"/>
      <c r="D354" s="93"/>
      <c r="E354" s="93"/>
      <c r="F354" s="93"/>
      <c r="G354" s="93"/>
      <c r="H354" s="94" t="s">
        <v>6</v>
      </c>
      <c r="I354" s="3">
        <f>SUM(H356:H356)</f>
        <v>1</v>
      </c>
      <c r="J354" s="1"/>
      <c r="K354" s="1"/>
    </row>
    <row r="355" ht="15" customHeight="1">
      <c r="A355" s="91" t="s">
        <v>7</v>
      </c>
      <c r="B355" s="95" t="s">
        <v>8</v>
      </c>
      <c r="C355" s="52" t="s">
        <v>9</v>
      </c>
      <c r="D355" s="52" t="s">
        <v>10</v>
      </c>
      <c r="E355" s="52" t="s">
        <v>11</v>
      </c>
      <c r="F355" s="52" t="s">
        <v>12</v>
      </c>
      <c r="G355" s="52" t="s">
        <v>13</v>
      </c>
      <c r="H355" s="96" t="s">
        <v>14</v>
      </c>
      <c r="I355" s="52" t="s">
        <v>15</v>
      </c>
      <c r="J355" s="1"/>
    </row>
    <row r="356" ht="75" customHeight="1">
      <c r="A356" s="78"/>
      <c r="B356" s="70"/>
      <c r="C356" s="71"/>
      <c r="D356" s="71"/>
      <c r="E356" s="71"/>
      <c r="F356" s="71"/>
      <c r="G356" s="71">
        <v>1</v>
      </c>
      <c r="H356" s="72">
        <f t="shared" si="6"/>
        <v>1</v>
      </c>
      <c r="I356" s="78"/>
      <c r="J356" s="1"/>
    </row>
    <row r="359" ht="15" customHeight="1">
      <c r="A359" s="88" t="s">
        <v>0</v>
      </c>
      <c r="B359" s="89"/>
      <c r="C359" s="90"/>
      <c r="D359" s="90"/>
      <c r="E359" s="90"/>
      <c r="F359" s="90"/>
      <c r="G359" s="90"/>
      <c r="H359" s="8" t="s">
        <v>1</v>
      </c>
      <c r="I359" s="9"/>
      <c r="J359" s="1"/>
    </row>
    <row r="360" ht="15" customHeight="1">
      <c r="A360" s="88" t="s">
        <v>2</v>
      </c>
      <c r="B360" s="89"/>
      <c r="C360" s="90"/>
      <c r="D360" s="90"/>
      <c r="E360" s="90"/>
      <c r="F360" s="90"/>
      <c r="G360" s="90"/>
      <c r="H360" s="14" t="s">
        <v>3</v>
      </c>
      <c r="I360" s="15"/>
      <c r="J360" s="1"/>
    </row>
    <row r="361" ht="33.75" customHeight="1">
      <c r="A361" s="91" t="s">
        <v>4</v>
      </c>
      <c r="B361" s="92" t="s">
        <v>80</v>
      </c>
      <c r="C361" s="93"/>
      <c r="D361" s="93"/>
      <c r="E361" s="93"/>
      <c r="F361" s="93"/>
      <c r="G361" s="93"/>
      <c r="H361" s="94" t="s">
        <v>6</v>
      </c>
      <c r="I361" s="3">
        <f>SUM(H363:H363)</f>
        <v>1</v>
      </c>
      <c r="J361" s="1"/>
      <c r="K361" s="1"/>
    </row>
    <row r="362" ht="15" customHeight="1">
      <c r="A362" s="91" t="s">
        <v>7</v>
      </c>
      <c r="B362" s="95" t="s">
        <v>8</v>
      </c>
      <c r="C362" s="52" t="s">
        <v>9</v>
      </c>
      <c r="D362" s="52" t="s">
        <v>10</v>
      </c>
      <c r="E362" s="52" t="s">
        <v>11</v>
      </c>
      <c r="F362" s="52" t="s">
        <v>12</v>
      </c>
      <c r="G362" s="52" t="s">
        <v>13</v>
      </c>
      <c r="H362" s="96" t="s">
        <v>14</v>
      </c>
      <c r="I362" s="52" t="s">
        <v>15</v>
      </c>
      <c r="J362" s="1"/>
    </row>
    <row r="363" ht="135" customHeight="1">
      <c r="A363" s="78"/>
      <c r="B363" s="70"/>
      <c r="C363" s="71"/>
      <c r="D363" s="71"/>
      <c r="E363" s="71"/>
      <c r="F363" s="71"/>
      <c r="G363" s="71">
        <v>1</v>
      </c>
      <c r="H363" s="72">
        <f t="shared" si="6"/>
        <v>1</v>
      </c>
      <c r="I363" s="78"/>
      <c r="J363" s="1"/>
    </row>
    <row r="366" ht="15" customHeight="1">
      <c r="A366" s="88" t="s">
        <v>0</v>
      </c>
      <c r="B366" s="89"/>
      <c r="C366" s="90"/>
      <c r="D366" s="90"/>
      <c r="E366" s="90"/>
      <c r="F366" s="90"/>
      <c r="G366" s="90"/>
      <c r="H366" s="8" t="s">
        <v>1</v>
      </c>
      <c r="I366" s="9"/>
      <c r="J366" s="1"/>
    </row>
    <row r="367" ht="15" customHeight="1">
      <c r="A367" s="88" t="s">
        <v>2</v>
      </c>
      <c r="B367" s="89"/>
      <c r="C367" s="90"/>
      <c r="D367" s="90"/>
      <c r="E367" s="90"/>
      <c r="F367" s="90"/>
      <c r="G367" s="90"/>
      <c r="H367" s="14" t="s">
        <v>3</v>
      </c>
      <c r="I367" s="15"/>
      <c r="J367" s="1"/>
    </row>
    <row r="368" ht="33.75" customHeight="1">
      <c r="A368" s="91" t="s">
        <v>4</v>
      </c>
      <c r="B368" s="92" t="s">
        <v>80</v>
      </c>
      <c r="C368" s="93"/>
      <c r="D368" s="93"/>
      <c r="E368" s="93"/>
      <c r="F368" s="93"/>
      <c r="G368" s="93"/>
      <c r="H368" s="94" t="s">
        <v>6</v>
      </c>
      <c r="I368" s="3">
        <f>SUM(H370:H370)</f>
        <v>1</v>
      </c>
      <c r="J368" s="1"/>
      <c r="K368" s="1"/>
    </row>
    <row r="369" ht="15" customHeight="1">
      <c r="A369" s="91" t="s">
        <v>7</v>
      </c>
      <c r="B369" s="95" t="s">
        <v>8</v>
      </c>
      <c r="C369" s="52" t="s">
        <v>9</v>
      </c>
      <c r="D369" s="52" t="s">
        <v>10</v>
      </c>
      <c r="E369" s="52" t="s">
        <v>11</v>
      </c>
      <c r="F369" s="52" t="s">
        <v>12</v>
      </c>
      <c r="G369" s="52" t="s">
        <v>13</v>
      </c>
      <c r="H369" s="96" t="s">
        <v>14</v>
      </c>
      <c r="I369" s="52" t="s">
        <v>15</v>
      </c>
      <c r="J369" s="1"/>
    </row>
    <row r="370" ht="135" customHeight="1">
      <c r="A370" s="78"/>
      <c r="B370" s="70"/>
      <c r="C370" s="71"/>
      <c r="D370" s="71"/>
      <c r="E370" s="71"/>
      <c r="F370" s="71"/>
      <c r="G370" s="71">
        <v>1</v>
      </c>
      <c r="H370" s="72">
        <f t="shared" si="6"/>
        <v>1</v>
      </c>
      <c r="I370" s="78"/>
      <c r="J370" s="1"/>
    </row>
    <row r="373" ht="15" customHeight="1">
      <c r="A373" s="88" t="s">
        <v>0</v>
      </c>
      <c r="B373" s="89"/>
      <c r="C373" s="90"/>
      <c r="D373" s="90"/>
      <c r="E373" s="90"/>
      <c r="F373" s="90"/>
      <c r="G373" s="90"/>
      <c r="H373" s="8" t="s">
        <v>1</v>
      </c>
      <c r="I373" s="9"/>
      <c r="J373" s="1"/>
    </row>
    <row r="374" ht="15" customHeight="1">
      <c r="A374" s="88" t="s">
        <v>2</v>
      </c>
      <c r="B374" s="89"/>
      <c r="C374" s="90"/>
      <c r="D374" s="90"/>
      <c r="E374" s="90"/>
      <c r="F374" s="90"/>
      <c r="G374" s="90"/>
      <c r="H374" s="14" t="s">
        <v>3</v>
      </c>
      <c r="I374" s="15"/>
      <c r="J374" s="1"/>
    </row>
    <row r="375" ht="33.75" customHeight="1">
      <c r="A375" s="91" t="s">
        <v>4</v>
      </c>
      <c r="B375" s="92" t="s">
        <v>81</v>
      </c>
      <c r="C375" s="93"/>
      <c r="D375" s="93"/>
      <c r="E375" s="93"/>
      <c r="F375" s="93"/>
      <c r="G375" s="93"/>
      <c r="H375" s="94" t="s">
        <v>6</v>
      </c>
      <c r="I375" s="3">
        <f>SUM(H377:H378)</f>
        <v>2.3999999999999999</v>
      </c>
      <c r="J375" s="1"/>
      <c r="K375" s="1"/>
    </row>
    <row r="376" ht="15" customHeight="1">
      <c r="A376" s="91" t="s">
        <v>7</v>
      </c>
      <c r="B376" s="95" t="s">
        <v>8</v>
      </c>
      <c r="C376" s="52" t="s">
        <v>9</v>
      </c>
      <c r="D376" s="52" t="s">
        <v>10</v>
      </c>
      <c r="E376" s="52" t="s">
        <v>11</v>
      </c>
      <c r="F376" s="52" t="s">
        <v>12</v>
      </c>
      <c r="G376" s="52" t="s">
        <v>13</v>
      </c>
      <c r="H376" s="96" t="s">
        <v>14</v>
      </c>
      <c r="I376" s="52" t="s">
        <v>15</v>
      </c>
      <c r="J376" s="1"/>
    </row>
    <row r="377" ht="74.25" customHeight="1">
      <c r="A377" s="78" t="s">
        <v>28</v>
      </c>
      <c r="B377" s="70" t="s">
        <v>73</v>
      </c>
      <c r="C377" s="71"/>
      <c r="D377" s="71">
        <v>1.2</v>
      </c>
      <c r="E377" s="71"/>
      <c r="F377" s="71"/>
      <c r="G377" s="71"/>
      <c r="H377" s="72">
        <f t="shared" si="6"/>
        <v>1.2</v>
      </c>
      <c r="I377" s="78"/>
      <c r="J377" s="1"/>
    </row>
    <row r="378" ht="75.75" customHeight="1">
      <c r="A378" s="78" t="s">
        <v>45</v>
      </c>
      <c r="B378" s="70" t="s">
        <v>73</v>
      </c>
      <c r="C378" s="71"/>
      <c r="D378" s="71">
        <v>1.2</v>
      </c>
      <c r="E378" s="71"/>
      <c r="F378" s="71"/>
      <c r="G378" s="71"/>
      <c r="H378" s="72">
        <f t="shared" si="6"/>
        <v>1.2</v>
      </c>
      <c r="I378" s="78"/>
      <c r="J378" s="1"/>
    </row>
    <row r="381" ht="15" customHeight="1">
      <c r="A381" s="88" t="s">
        <v>0</v>
      </c>
      <c r="B381" s="89"/>
      <c r="C381" s="90"/>
      <c r="D381" s="90"/>
      <c r="E381" s="90"/>
      <c r="F381" s="90"/>
      <c r="G381" s="90"/>
      <c r="H381" s="8" t="s">
        <v>1</v>
      </c>
      <c r="I381" s="9"/>
      <c r="J381" s="1"/>
    </row>
    <row r="382" ht="15" customHeight="1">
      <c r="A382" s="88" t="s">
        <v>2</v>
      </c>
      <c r="B382" s="89"/>
      <c r="C382" s="90"/>
      <c r="D382" s="90"/>
      <c r="E382" s="90"/>
      <c r="F382" s="90"/>
      <c r="G382" s="90"/>
      <c r="H382" s="14" t="s">
        <v>3</v>
      </c>
      <c r="I382" s="15"/>
      <c r="J382" s="1"/>
    </row>
    <row r="383" ht="19.5" customHeight="1">
      <c r="A383" s="91" t="s">
        <v>4</v>
      </c>
      <c r="B383" s="92" t="s">
        <v>82</v>
      </c>
      <c r="C383" s="93"/>
      <c r="D383" s="93"/>
      <c r="E383" s="93"/>
      <c r="F383" s="93"/>
      <c r="G383" s="93"/>
      <c r="H383" s="94" t="s">
        <v>6</v>
      </c>
      <c r="I383" s="3">
        <f>SUM(H385:H385)</f>
        <v>6.2000000000000002</v>
      </c>
      <c r="J383" s="1"/>
      <c r="K383" s="1"/>
    </row>
    <row r="384" ht="15" customHeight="1">
      <c r="A384" s="91" t="s">
        <v>7</v>
      </c>
      <c r="B384" s="95" t="s">
        <v>8</v>
      </c>
      <c r="C384" s="52" t="s">
        <v>9</v>
      </c>
      <c r="D384" s="52" t="s">
        <v>10</v>
      </c>
      <c r="E384" s="52" t="s">
        <v>11</v>
      </c>
      <c r="F384" s="52" t="s">
        <v>12</v>
      </c>
      <c r="G384" s="52" t="s">
        <v>13</v>
      </c>
      <c r="H384" s="96" t="s">
        <v>14</v>
      </c>
      <c r="I384" s="52" t="s">
        <v>15</v>
      </c>
      <c r="J384" s="1"/>
    </row>
    <row r="385" ht="23.25" customHeight="1">
      <c r="A385" s="78" t="s">
        <v>28</v>
      </c>
      <c r="B385" s="70" t="s">
        <v>73</v>
      </c>
      <c r="C385" s="71"/>
      <c r="D385" s="71">
        <v>6.2000000000000002</v>
      </c>
      <c r="E385" s="71"/>
      <c r="F385" s="71"/>
      <c r="G385" s="71"/>
      <c r="H385" s="72">
        <f t="shared" si="6"/>
        <v>6.2000000000000002</v>
      </c>
      <c r="I385" s="78"/>
      <c r="J385" s="1"/>
    </row>
    <row r="388" ht="15" customHeight="1">
      <c r="A388" s="88" t="s">
        <v>0</v>
      </c>
      <c r="B388" s="89"/>
      <c r="C388" s="90"/>
      <c r="D388" s="90"/>
      <c r="E388" s="90"/>
      <c r="F388" s="90"/>
      <c r="G388" s="90"/>
      <c r="H388" s="8" t="s">
        <v>1</v>
      </c>
      <c r="I388" s="9"/>
      <c r="J388" s="1"/>
    </row>
    <row r="389" ht="15" customHeight="1">
      <c r="A389" s="88" t="s">
        <v>2</v>
      </c>
      <c r="B389" s="89"/>
      <c r="C389" s="90"/>
      <c r="D389" s="90"/>
      <c r="E389" s="90"/>
      <c r="F389" s="90"/>
      <c r="G389" s="90"/>
      <c r="H389" s="14" t="s">
        <v>3</v>
      </c>
      <c r="I389" s="15"/>
      <c r="J389" s="1"/>
    </row>
    <row r="390" ht="19.5" customHeight="1">
      <c r="A390" s="91" t="s">
        <v>4</v>
      </c>
      <c r="B390" s="92" t="s">
        <v>82</v>
      </c>
      <c r="C390" s="93"/>
      <c r="D390" s="93"/>
      <c r="E390" s="93"/>
      <c r="F390" s="93"/>
      <c r="G390" s="93"/>
      <c r="H390" s="94" t="s">
        <v>6</v>
      </c>
      <c r="I390" s="3">
        <f>SUM(H392:H393)</f>
        <v>11</v>
      </c>
      <c r="J390" s="1"/>
      <c r="K390" s="1"/>
    </row>
    <row r="391" ht="15" customHeight="1">
      <c r="A391" s="91" t="s">
        <v>7</v>
      </c>
      <c r="B391" s="95" t="s">
        <v>8</v>
      </c>
      <c r="C391" s="52" t="s">
        <v>9</v>
      </c>
      <c r="D391" s="52" t="s">
        <v>10</v>
      </c>
      <c r="E391" s="52" t="s">
        <v>11</v>
      </c>
      <c r="F391" s="52" t="s">
        <v>12</v>
      </c>
      <c r="G391" s="52" t="s">
        <v>13</v>
      </c>
      <c r="H391" s="96" t="s">
        <v>14</v>
      </c>
      <c r="I391" s="52" t="s">
        <v>15</v>
      </c>
      <c r="J391" s="1"/>
    </row>
    <row r="392" ht="15" customHeight="1">
      <c r="A392" s="78"/>
      <c r="B392" s="70"/>
      <c r="C392" s="71"/>
      <c r="D392" s="71">
        <v>6.0599999999999996</v>
      </c>
      <c r="E392" s="71"/>
      <c r="F392" s="71"/>
      <c r="G392" s="71"/>
      <c r="H392" s="72">
        <f t="shared" si="6"/>
        <v>6.0599999999999996</v>
      </c>
      <c r="I392" s="78"/>
      <c r="J392" s="1"/>
    </row>
    <row r="393" ht="15" customHeight="1">
      <c r="A393" s="78"/>
      <c r="B393" s="70"/>
      <c r="C393" s="71"/>
      <c r="D393" s="71">
        <v>4.9400000000000004</v>
      </c>
      <c r="E393" s="71"/>
      <c r="F393" s="71"/>
      <c r="G393" s="71"/>
      <c r="H393" s="72">
        <f t="shared" si="6"/>
        <v>4.9400000000000004</v>
      </c>
      <c r="I393" s="78"/>
      <c r="J393" s="1"/>
    </row>
    <row r="395" ht="14.25">
      <c r="I395" s="3"/>
    </row>
    <row r="396" ht="14.25">
      <c r="I396" s="3"/>
    </row>
    <row r="403" ht="14.25">
      <c r="I403" s="3"/>
    </row>
    <row r="404" ht="14.25">
      <c r="I404" s="3"/>
    </row>
    <row r="410" ht="14.25">
      <c r="I410" s="3"/>
    </row>
    <row r="411" ht="14.25">
      <c r="I411" s="3"/>
    </row>
  </sheetData>
  <mergeCells count="46">
    <mergeCell ref="B2:G2"/>
    <mergeCell ref="B3:G3"/>
    <mergeCell ref="B4:G4"/>
    <mergeCell ref="B9:G9"/>
    <mergeCell ref="B10:G10"/>
    <mergeCell ref="B11:G11"/>
    <mergeCell ref="B16:G16"/>
    <mergeCell ref="B17:G17"/>
    <mergeCell ref="B18:G18"/>
    <mergeCell ref="B23:G23"/>
    <mergeCell ref="B24:G24"/>
    <mergeCell ref="B25:G25"/>
    <mergeCell ref="B31:G31"/>
    <mergeCell ref="B32:G32"/>
    <mergeCell ref="B33:G33"/>
    <mergeCell ref="B39:G39"/>
    <mergeCell ref="B40:G40"/>
    <mergeCell ref="B41:G41"/>
    <mergeCell ref="B47:G47"/>
    <mergeCell ref="B48:G48"/>
    <mergeCell ref="B49:G49"/>
    <mergeCell ref="B54:G54"/>
    <mergeCell ref="B55:G55"/>
    <mergeCell ref="B56:G56"/>
    <mergeCell ref="B62:G62"/>
    <mergeCell ref="B63:G63"/>
    <mergeCell ref="B64:G64"/>
    <mergeCell ref="B73:G73"/>
    <mergeCell ref="B74:G74"/>
    <mergeCell ref="B75:G75"/>
    <mergeCell ref="B82:G82"/>
    <mergeCell ref="B83:G83"/>
    <mergeCell ref="B84:G84"/>
    <mergeCell ref="B97:G97"/>
    <mergeCell ref="B98:G98"/>
    <mergeCell ref="B99:G99"/>
    <mergeCell ref="B110:G110"/>
    <mergeCell ref="B111:G111"/>
    <mergeCell ref="B112:G112"/>
    <mergeCell ref="B117:G117"/>
    <mergeCell ref="B118:G118"/>
    <mergeCell ref="B119:G119"/>
    <mergeCell ref="B126:G126"/>
    <mergeCell ref="B127:G127"/>
    <mergeCell ref="B128:G128"/>
    <mergeCell ref="I352:I353"/>
  </mergeCells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58" zoomScale="100" workbookViewId="0">
      <selection activeCell="D73" activeCellId="0" sqref="D73"/>
    </sheetView>
  </sheetViews>
  <sheetFormatPr defaultColWidth="10.6796875" defaultRowHeight="15"/>
  <cols>
    <col customWidth="1" min="4" max="4" style="102" width="48.710000000000001"/>
    <col customWidth="1" min="6" max="6" style="103" width="20.420000000000002"/>
    <col customWidth="1" hidden="1" min="7" max="18" style="103" width="11.529999999999999"/>
  </cols>
  <sheetData>
    <row r="1" s="104" customFormat="1" ht="24" customHeight="1">
      <c r="A1" s="105"/>
      <c r="B1" s="106"/>
      <c r="C1" s="107" t="s">
        <v>83</v>
      </c>
      <c r="D1" s="107" t="s">
        <v>84</v>
      </c>
      <c r="E1" s="107" t="s">
        <v>85</v>
      </c>
      <c r="F1" s="108" t="s">
        <v>86</v>
      </c>
      <c r="G1" s="109" t="s">
        <v>87</v>
      </c>
      <c r="H1" s="109" t="s">
        <v>88</v>
      </c>
      <c r="I1" s="110" t="s">
        <v>89</v>
      </c>
      <c r="J1" s="110"/>
      <c r="K1" s="110"/>
      <c r="L1" s="110"/>
      <c r="M1" s="111" t="s">
        <v>90</v>
      </c>
      <c r="N1" s="111"/>
      <c r="O1" s="111"/>
      <c r="P1" s="111"/>
      <c r="Q1" s="112" t="s">
        <v>91</v>
      </c>
      <c r="R1" s="113" t="s">
        <v>92</v>
      </c>
    </row>
    <row r="2" ht="15" customHeight="1">
      <c r="A2" s="114" t="s">
        <v>93</v>
      </c>
      <c r="B2" s="106" t="s">
        <v>94</v>
      </c>
      <c r="C2" s="115" t="s">
        <v>95</v>
      </c>
      <c r="D2" s="116" t="s">
        <v>96</v>
      </c>
      <c r="E2" s="115"/>
      <c r="F2" s="117"/>
      <c r="G2" s="118"/>
      <c r="H2" s="118"/>
      <c r="I2" s="119"/>
      <c r="J2" s="119"/>
      <c r="K2" s="120"/>
      <c r="L2" s="120"/>
      <c r="M2" s="121"/>
      <c r="N2" s="121"/>
      <c r="O2" s="122"/>
      <c r="P2" s="122"/>
      <c r="Q2" s="123"/>
      <c r="R2" s="124"/>
    </row>
    <row r="3" ht="22.5" customHeight="1">
      <c r="A3" s="114" t="s">
        <v>97</v>
      </c>
      <c r="B3" s="106" t="s">
        <v>94</v>
      </c>
      <c r="C3" s="115" t="s">
        <v>98</v>
      </c>
      <c r="D3" s="116" t="s">
        <v>99</v>
      </c>
      <c r="E3" s="115"/>
      <c r="F3" s="117"/>
      <c r="G3" s="118"/>
      <c r="H3" s="118" t="e">
        <f>SUM(#REF!)</f>
        <v>#REF!</v>
      </c>
      <c r="I3" s="119" t="s">
        <v>100</v>
      </c>
      <c r="J3" s="120" t="s">
        <v>101</v>
      </c>
      <c r="K3" s="120" t="s">
        <v>102</v>
      </c>
      <c r="L3" s="120" t="s">
        <v>103</v>
      </c>
      <c r="M3" s="121" t="s">
        <v>100</v>
      </c>
      <c r="N3" s="122" t="s">
        <v>101</v>
      </c>
      <c r="O3" s="122" t="s">
        <v>104</v>
      </c>
      <c r="P3" s="122" t="s">
        <v>105</v>
      </c>
      <c r="Q3" s="123"/>
      <c r="R3" s="125" t="e">
        <f>SUM(#REF!)</f>
        <v>#REF!</v>
      </c>
    </row>
    <row r="4" ht="22.5" customHeight="1">
      <c r="A4" s="126" t="s">
        <v>106</v>
      </c>
      <c r="B4" s="106"/>
      <c r="C4" s="127" t="s">
        <v>107</v>
      </c>
      <c r="D4" s="128" t="s">
        <v>108</v>
      </c>
      <c r="E4" s="127" t="s">
        <v>26</v>
      </c>
      <c r="F4" s="129">
        <f>Generadores!I4</f>
        <v>34.713000000000001</v>
      </c>
      <c r="G4" s="118"/>
      <c r="H4" s="118"/>
      <c r="I4" s="119"/>
      <c r="J4" s="120"/>
      <c r="K4" s="120"/>
      <c r="L4" s="120"/>
      <c r="M4" s="121"/>
      <c r="N4" s="122"/>
      <c r="O4" s="122"/>
      <c r="P4" s="122"/>
      <c r="Q4" s="123"/>
      <c r="R4" s="125"/>
    </row>
    <row r="5" ht="22.5" customHeight="1">
      <c r="A5" s="126" t="s">
        <v>106</v>
      </c>
      <c r="B5" s="106"/>
      <c r="C5" s="127" t="s">
        <v>109</v>
      </c>
      <c r="D5" s="128" t="s">
        <v>110</v>
      </c>
      <c r="E5" s="127" t="s">
        <v>26</v>
      </c>
      <c r="F5" s="129"/>
      <c r="G5" s="118"/>
      <c r="H5" s="118"/>
      <c r="I5" s="119"/>
      <c r="J5" s="120"/>
      <c r="K5" s="120"/>
      <c r="L5" s="120"/>
      <c r="M5" s="121"/>
      <c r="N5" s="122"/>
      <c r="O5" s="122"/>
      <c r="P5" s="122"/>
      <c r="Q5" s="123"/>
      <c r="R5" s="125"/>
    </row>
    <row r="6" ht="22.5" customHeight="1">
      <c r="A6" s="126" t="s">
        <v>106</v>
      </c>
      <c r="B6" s="106"/>
      <c r="C6" s="127" t="s">
        <v>111</v>
      </c>
      <c r="D6" s="128" t="s">
        <v>112</v>
      </c>
      <c r="E6" s="127" t="s">
        <v>113</v>
      </c>
      <c r="F6" s="129"/>
      <c r="G6" s="118"/>
      <c r="H6" s="118"/>
      <c r="I6" s="119"/>
      <c r="J6" s="120"/>
      <c r="K6" s="120"/>
      <c r="L6" s="120"/>
      <c r="M6" s="121"/>
      <c r="N6" s="122"/>
      <c r="O6" s="122"/>
      <c r="P6" s="122"/>
      <c r="Q6" s="123"/>
      <c r="R6" s="125"/>
    </row>
    <row r="7" ht="15" customHeight="1">
      <c r="A7" s="114" t="s">
        <v>97</v>
      </c>
      <c r="B7" s="106" t="s">
        <v>94</v>
      </c>
      <c r="C7" s="115" t="s">
        <v>114</v>
      </c>
      <c r="D7" s="116" t="s">
        <v>115</v>
      </c>
      <c r="E7" s="115"/>
      <c r="F7" s="117"/>
      <c r="G7" s="118"/>
      <c r="H7" s="118"/>
      <c r="I7" s="119"/>
      <c r="J7" s="120"/>
      <c r="K7" s="120"/>
      <c r="L7" s="120"/>
      <c r="M7" s="121"/>
      <c r="N7" s="122"/>
      <c r="O7" s="130"/>
      <c r="P7" s="130"/>
      <c r="Q7" s="131"/>
      <c r="R7" s="132"/>
    </row>
    <row r="8" ht="39" customHeight="1">
      <c r="A8" s="126" t="s">
        <v>106</v>
      </c>
      <c r="B8" s="106"/>
      <c r="C8" s="127" t="s">
        <v>116</v>
      </c>
      <c r="D8" s="128" t="s">
        <v>117</v>
      </c>
      <c r="E8" s="127" t="s">
        <v>118</v>
      </c>
      <c r="F8" s="133">
        <f>Generadores!I11</f>
        <v>7.1820000000000013</v>
      </c>
      <c r="G8" s="134"/>
      <c r="H8" s="134"/>
      <c r="I8" s="135"/>
      <c r="J8" s="136"/>
      <c r="K8" s="136"/>
      <c r="L8" s="136"/>
      <c r="M8" s="137"/>
      <c r="N8" s="130"/>
      <c r="O8" s="130"/>
      <c r="P8" s="130"/>
      <c r="Q8" s="131"/>
      <c r="R8" s="138"/>
    </row>
    <row r="9" ht="39" customHeight="1">
      <c r="A9" s="126"/>
      <c r="B9" s="106"/>
      <c r="C9" s="127" t="s">
        <v>119</v>
      </c>
      <c r="D9" s="128" t="s">
        <v>120</v>
      </c>
      <c r="E9" s="127" t="s">
        <v>118</v>
      </c>
      <c r="F9" s="133"/>
      <c r="G9" s="134"/>
      <c r="H9" s="134"/>
      <c r="I9" s="135"/>
      <c r="J9" s="136"/>
      <c r="K9" s="136"/>
      <c r="L9" s="136"/>
      <c r="M9" s="137"/>
      <c r="N9" s="130"/>
      <c r="O9" s="130"/>
      <c r="P9" s="130"/>
      <c r="Q9" s="131"/>
      <c r="R9" s="138"/>
    </row>
    <row r="10" ht="30.75" customHeight="1">
      <c r="A10" s="126" t="s">
        <v>106</v>
      </c>
      <c r="B10" s="106"/>
      <c r="C10" s="127" t="s">
        <v>121</v>
      </c>
      <c r="D10" s="128" t="s">
        <v>122</v>
      </c>
      <c r="E10" s="127" t="s">
        <v>26</v>
      </c>
      <c r="F10" s="133">
        <f>Generadores!I25</f>
        <v>8.9320000000000022</v>
      </c>
      <c r="G10" s="134"/>
      <c r="H10" s="134"/>
      <c r="I10" s="135"/>
      <c r="J10" s="136"/>
      <c r="K10" s="136"/>
      <c r="L10" s="136"/>
      <c r="M10" s="137"/>
      <c r="N10" s="130"/>
      <c r="O10" s="130"/>
      <c r="P10" s="130"/>
      <c r="Q10" s="131"/>
      <c r="R10" s="138"/>
    </row>
    <row r="11" ht="36" customHeight="1">
      <c r="A11" s="126" t="s">
        <v>106</v>
      </c>
      <c r="B11" s="106"/>
      <c r="C11" s="127" t="s">
        <v>123</v>
      </c>
      <c r="D11" s="128" t="s">
        <v>124</v>
      </c>
      <c r="E11" s="127" t="s">
        <v>26</v>
      </c>
      <c r="F11" s="133">
        <f>Generadores!I33</f>
        <v>5.3200000000000003</v>
      </c>
      <c r="G11" s="134"/>
      <c r="H11" s="134"/>
      <c r="I11" s="135"/>
      <c r="J11" s="136"/>
      <c r="K11" s="136"/>
      <c r="L11" s="136"/>
      <c r="M11" s="137"/>
      <c r="N11" s="130"/>
      <c r="O11" s="130"/>
      <c r="P11" s="130"/>
      <c r="Q11" s="131"/>
      <c r="R11" s="138"/>
    </row>
    <row r="12" ht="58.5" customHeight="1">
      <c r="A12" s="126" t="s">
        <v>106</v>
      </c>
      <c r="B12" s="106"/>
      <c r="C12" s="127" t="s">
        <v>125</v>
      </c>
      <c r="D12" s="128" t="s">
        <v>126</v>
      </c>
      <c r="E12" s="127" t="s">
        <v>127</v>
      </c>
      <c r="F12" s="133"/>
      <c r="G12" s="134"/>
      <c r="H12" s="134"/>
      <c r="I12" s="135"/>
      <c r="J12" s="136"/>
      <c r="K12" s="136"/>
      <c r="L12" s="136"/>
      <c r="M12" s="137"/>
      <c r="N12" s="130"/>
      <c r="O12" s="130"/>
      <c r="P12" s="130"/>
      <c r="Q12" s="131"/>
      <c r="R12" s="138"/>
    </row>
    <row r="13" ht="61.5" customHeight="1">
      <c r="A13" s="126" t="s">
        <v>106</v>
      </c>
      <c r="B13" s="106"/>
      <c r="C13" s="127" t="s">
        <v>128</v>
      </c>
      <c r="D13" s="128" t="s">
        <v>129</v>
      </c>
      <c r="E13" s="127" t="s">
        <v>127</v>
      </c>
      <c r="F13" s="133"/>
      <c r="G13" s="134"/>
      <c r="H13" s="134"/>
      <c r="I13" s="135"/>
      <c r="J13" s="136"/>
      <c r="K13" s="136"/>
      <c r="L13" s="136"/>
      <c r="M13" s="137"/>
      <c r="N13" s="130"/>
      <c r="O13" s="130"/>
      <c r="P13" s="130"/>
      <c r="Q13" s="131"/>
      <c r="R13" s="138"/>
    </row>
    <row r="14" ht="54" customHeight="1">
      <c r="A14" s="126" t="s">
        <v>106</v>
      </c>
      <c r="B14" s="106"/>
      <c r="C14" s="127" t="s">
        <v>130</v>
      </c>
      <c r="D14" s="128" t="s">
        <v>131</v>
      </c>
      <c r="E14" s="127" t="s">
        <v>132</v>
      </c>
      <c r="F14" s="133"/>
      <c r="G14" s="134"/>
      <c r="H14" s="134"/>
      <c r="I14" s="135"/>
      <c r="J14" s="136"/>
      <c r="K14" s="136"/>
      <c r="L14" s="136"/>
      <c r="M14" s="137"/>
      <c r="N14" s="130"/>
      <c r="O14" s="130"/>
      <c r="P14" s="130"/>
      <c r="Q14" s="131"/>
      <c r="R14" s="138"/>
    </row>
    <row r="15" ht="49.5" customHeight="1">
      <c r="A15" s="126" t="s">
        <v>106</v>
      </c>
      <c r="B15" s="106"/>
      <c r="C15" s="127" t="s">
        <v>133</v>
      </c>
      <c r="D15" s="139" t="s">
        <v>134</v>
      </c>
      <c r="E15" s="140" t="s">
        <v>132</v>
      </c>
      <c r="F15" s="133"/>
      <c r="G15" s="134"/>
      <c r="H15" s="134"/>
      <c r="I15" s="135"/>
      <c r="J15" s="136"/>
      <c r="K15" s="136"/>
      <c r="L15" s="136"/>
      <c r="M15" s="137"/>
      <c r="N15" s="130"/>
      <c r="O15" s="130"/>
      <c r="P15" s="130"/>
      <c r="Q15" s="141"/>
      <c r="R15" s="142"/>
    </row>
    <row r="16" ht="54" customHeight="1">
      <c r="A16" s="126" t="s">
        <v>106</v>
      </c>
      <c r="B16" s="106"/>
      <c r="C16" s="127" t="s">
        <v>135</v>
      </c>
      <c r="D16" s="128" t="s">
        <v>136</v>
      </c>
      <c r="E16" s="127" t="s">
        <v>26</v>
      </c>
      <c r="F16" s="143" t="e">
        <f>Generadores!I64</f>
        <v>#REF!</v>
      </c>
      <c r="G16" s="134"/>
      <c r="H16" s="134"/>
      <c r="I16" s="135"/>
      <c r="J16" s="136"/>
      <c r="K16" s="136"/>
      <c r="L16" s="136"/>
      <c r="M16" s="137"/>
      <c r="N16" s="130"/>
      <c r="O16" s="130"/>
      <c r="P16" s="130"/>
      <c r="Q16" s="131"/>
      <c r="R16" s="138"/>
    </row>
    <row r="17" ht="54" customHeight="1">
      <c r="A17" s="126"/>
      <c r="B17" s="106"/>
      <c r="C17" s="127" t="s">
        <v>137</v>
      </c>
      <c r="D17" s="128" t="s">
        <v>138</v>
      </c>
      <c r="E17" s="127" t="s">
        <v>26</v>
      </c>
      <c r="F17" s="133"/>
      <c r="G17" s="134"/>
      <c r="H17" s="134"/>
      <c r="I17" s="135"/>
      <c r="J17" s="136"/>
      <c r="K17" s="136"/>
      <c r="L17" s="136"/>
      <c r="M17" s="137"/>
      <c r="N17" s="130"/>
      <c r="O17" s="130"/>
      <c r="P17" s="130"/>
      <c r="Q17" s="131"/>
      <c r="R17" s="138"/>
    </row>
    <row r="18" ht="45.75" customHeight="1">
      <c r="A18" s="126" t="s">
        <v>106</v>
      </c>
      <c r="B18" s="106"/>
      <c r="C18" s="127" t="s">
        <v>139</v>
      </c>
      <c r="D18" s="128" t="s">
        <v>140</v>
      </c>
      <c r="E18" s="127" t="s">
        <v>132</v>
      </c>
      <c r="F18" s="133">
        <f>Generadores!I75</f>
        <v>10.300000000000001</v>
      </c>
      <c r="G18" s="134"/>
      <c r="H18" s="134"/>
      <c r="I18" s="135"/>
      <c r="J18" s="136"/>
      <c r="K18" s="136"/>
      <c r="L18" s="136"/>
      <c r="M18" s="137"/>
      <c r="N18" s="130"/>
      <c r="O18" s="130"/>
      <c r="P18" s="130"/>
      <c r="Q18" s="131"/>
      <c r="R18" s="138"/>
    </row>
    <row r="19" ht="45.75" customHeight="1">
      <c r="A19" s="126" t="s">
        <v>106</v>
      </c>
      <c r="B19" s="106"/>
      <c r="C19" s="127" t="s">
        <v>141</v>
      </c>
      <c r="D19" s="128" t="s">
        <v>142</v>
      </c>
      <c r="E19" s="127" t="s">
        <v>26</v>
      </c>
      <c r="F19" s="133">
        <f>Generadores!I56</f>
        <v>4.9809999999999999</v>
      </c>
      <c r="G19" s="134"/>
      <c r="H19" s="134"/>
      <c r="I19" s="135"/>
      <c r="J19" s="136"/>
      <c r="K19" s="136"/>
      <c r="L19" s="136"/>
      <c r="M19" s="137"/>
      <c r="N19" s="130"/>
      <c r="O19" s="130"/>
      <c r="P19" s="130"/>
      <c r="Q19" s="131"/>
      <c r="R19" s="138"/>
    </row>
    <row r="20" ht="45.75" customHeight="1">
      <c r="A20" s="126" t="s">
        <v>106</v>
      </c>
      <c r="B20" s="106"/>
      <c r="C20" s="127" t="s">
        <v>143</v>
      </c>
      <c r="D20" s="128" t="s">
        <v>144</v>
      </c>
      <c r="E20" s="127" t="s">
        <v>132</v>
      </c>
      <c r="F20" s="133"/>
      <c r="G20" s="134"/>
      <c r="H20" s="134"/>
      <c r="I20" s="135"/>
      <c r="J20" s="136"/>
      <c r="K20" s="136"/>
      <c r="L20" s="136"/>
      <c r="M20" s="137"/>
      <c r="N20" s="130"/>
      <c r="O20" s="130"/>
      <c r="P20" s="130"/>
      <c r="Q20" s="131"/>
      <c r="R20" s="138"/>
    </row>
    <row r="21" ht="41.25" customHeight="1">
      <c r="A21" s="126" t="s">
        <v>106</v>
      </c>
      <c r="B21" s="106"/>
      <c r="C21" s="127" t="s">
        <v>145</v>
      </c>
      <c r="D21" s="128" t="s">
        <v>146</v>
      </c>
      <c r="E21" s="127" t="s">
        <v>118</v>
      </c>
      <c r="F21" s="133"/>
      <c r="G21" s="134"/>
      <c r="H21" s="134"/>
      <c r="I21" s="135"/>
      <c r="J21" s="136"/>
      <c r="K21" s="136"/>
      <c r="L21" s="136"/>
      <c r="M21" s="137"/>
      <c r="N21" s="130"/>
      <c r="O21" s="130"/>
      <c r="P21" s="130"/>
      <c r="Q21" s="131"/>
      <c r="R21" s="138"/>
    </row>
    <row r="22" ht="36.75" customHeight="1">
      <c r="A22" s="126" t="s">
        <v>106</v>
      </c>
      <c r="B22" s="106"/>
      <c r="C22" s="127" t="s">
        <v>147</v>
      </c>
      <c r="D22" s="128" t="s">
        <v>148</v>
      </c>
      <c r="E22" s="127" t="s">
        <v>118</v>
      </c>
      <c r="F22" s="133">
        <f>Generadores!I99</f>
        <v>0</v>
      </c>
      <c r="G22" s="134"/>
      <c r="H22" s="134"/>
      <c r="I22" s="135"/>
      <c r="J22" s="136"/>
      <c r="K22" s="136"/>
      <c r="L22" s="136"/>
      <c r="M22" s="137"/>
      <c r="N22" s="130"/>
      <c r="O22" s="130"/>
      <c r="P22" s="130"/>
      <c r="Q22" s="131"/>
      <c r="R22" s="138"/>
    </row>
    <row r="23" ht="15" customHeight="1">
      <c r="A23" s="114" t="s">
        <v>97</v>
      </c>
      <c r="B23" s="106" t="s">
        <v>94</v>
      </c>
      <c r="C23" s="115" t="s">
        <v>149</v>
      </c>
      <c r="D23" s="116" t="s">
        <v>150</v>
      </c>
      <c r="E23" s="115"/>
      <c r="F23" s="133"/>
      <c r="G23" s="118"/>
      <c r="H23" s="118"/>
      <c r="I23" s="119"/>
      <c r="J23" s="120"/>
      <c r="K23" s="120"/>
      <c r="L23" s="120"/>
      <c r="M23" s="121"/>
      <c r="N23" s="122"/>
      <c r="O23" s="130"/>
      <c r="P23" s="130"/>
      <c r="Q23" s="131"/>
      <c r="R23" s="132"/>
    </row>
    <row r="24" ht="22.5" customHeight="1">
      <c r="A24" s="126" t="s">
        <v>106</v>
      </c>
      <c r="B24" s="106"/>
      <c r="C24" s="127" t="s">
        <v>141</v>
      </c>
      <c r="D24" s="128" t="s">
        <v>142</v>
      </c>
      <c r="E24" s="127" t="s">
        <v>26</v>
      </c>
      <c r="F24" s="133">
        <f>Generadores!I56</f>
        <v>4.9809999999999999</v>
      </c>
      <c r="G24" s="118"/>
      <c r="H24" s="118"/>
      <c r="I24" s="119"/>
      <c r="J24" s="120"/>
      <c r="K24" s="120"/>
      <c r="L24" s="120"/>
      <c r="M24" s="121"/>
      <c r="N24" s="122"/>
      <c r="O24" s="130"/>
      <c r="P24" s="130"/>
      <c r="Q24" s="131"/>
      <c r="R24" s="132"/>
    </row>
    <row r="25" ht="46.5" customHeight="1">
      <c r="A25" s="126" t="s">
        <v>106</v>
      </c>
      <c r="B25" s="106"/>
      <c r="C25" s="127" t="s">
        <v>151</v>
      </c>
      <c r="D25" s="128" t="s">
        <v>152</v>
      </c>
      <c r="E25" s="127" t="s">
        <v>132</v>
      </c>
      <c r="F25" s="133"/>
      <c r="G25" s="134"/>
      <c r="H25" s="134"/>
      <c r="I25" s="135"/>
      <c r="J25" s="136"/>
      <c r="K25" s="136"/>
      <c r="L25" s="136"/>
      <c r="M25" s="137"/>
      <c r="N25" s="130"/>
      <c r="O25" s="130"/>
      <c r="P25" s="130"/>
      <c r="Q25" s="131"/>
      <c r="R25" s="138"/>
    </row>
    <row r="26" ht="51.75" customHeight="1">
      <c r="A26" s="126" t="s">
        <v>106</v>
      </c>
      <c r="B26" s="106"/>
      <c r="C26" s="127" t="s">
        <v>153</v>
      </c>
      <c r="D26" s="128" t="s">
        <v>154</v>
      </c>
      <c r="E26" s="127" t="s">
        <v>132</v>
      </c>
      <c r="F26" s="133"/>
      <c r="G26" s="134"/>
      <c r="H26" s="134"/>
      <c r="I26" s="135"/>
      <c r="J26" s="136"/>
      <c r="K26" s="136"/>
      <c r="L26" s="136"/>
      <c r="M26" s="137"/>
      <c r="N26" s="130"/>
      <c r="O26" s="130"/>
      <c r="P26" s="130"/>
      <c r="Q26" s="131"/>
      <c r="R26" s="138"/>
    </row>
    <row r="27" ht="51.75" customHeight="1">
      <c r="A27" s="126" t="s">
        <v>106</v>
      </c>
      <c r="B27" s="106"/>
      <c r="C27" s="127" t="s">
        <v>155</v>
      </c>
      <c r="D27" s="128" t="s">
        <v>156</v>
      </c>
      <c r="E27" s="127" t="s">
        <v>132</v>
      </c>
      <c r="F27" s="133">
        <f>Generadores!I152</f>
        <v>5.2999999999999998</v>
      </c>
      <c r="G27" s="134"/>
      <c r="H27" s="134"/>
      <c r="I27" s="135"/>
      <c r="J27" s="136"/>
      <c r="K27" s="136"/>
      <c r="L27" s="136"/>
      <c r="M27" s="137"/>
      <c r="N27" s="130"/>
      <c r="O27" s="130"/>
      <c r="P27" s="130"/>
      <c r="Q27" s="131"/>
      <c r="R27" s="138"/>
    </row>
    <row r="28" ht="51.75" customHeight="1">
      <c r="A28" s="126" t="s">
        <v>106</v>
      </c>
      <c r="B28" s="106"/>
      <c r="C28" s="127" t="s">
        <v>157</v>
      </c>
      <c r="D28" s="128" t="s">
        <v>158</v>
      </c>
      <c r="E28" s="127" t="s">
        <v>132</v>
      </c>
      <c r="F28" s="133"/>
      <c r="G28" s="134"/>
      <c r="H28" s="134"/>
      <c r="I28" s="135"/>
      <c r="J28" s="136"/>
      <c r="K28" s="136"/>
      <c r="L28" s="136"/>
      <c r="M28" s="137"/>
      <c r="N28" s="130"/>
      <c r="O28" s="130"/>
      <c r="P28" s="130"/>
      <c r="Q28" s="131"/>
      <c r="R28" s="138"/>
    </row>
    <row r="29" ht="51.75" customHeight="1">
      <c r="A29" s="126" t="s">
        <v>106</v>
      </c>
      <c r="B29" s="106"/>
      <c r="C29" s="127" t="s">
        <v>159</v>
      </c>
      <c r="D29" s="128" t="s">
        <v>160</v>
      </c>
      <c r="E29" s="127" t="s">
        <v>132</v>
      </c>
      <c r="F29" s="133"/>
      <c r="G29" s="134"/>
      <c r="H29" s="134"/>
      <c r="I29" s="135"/>
      <c r="J29" s="136"/>
      <c r="K29" s="136"/>
      <c r="L29" s="136"/>
      <c r="M29" s="137"/>
      <c r="N29" s="130"/>
      <c r="O29" s="130"/>
      <c r="P29" s="130"/>
      <c r="Q29" s="131"/>
      <c r="R29" s="138"/>
    </row>
    <row r="30" ht="15" customHeight="1">
      <c r="A30" s="114" t="s">
        <v>97</v>
      </c>
      <c r="B30" s="106" t="s">
        <v>94</v>
      </c>
      <c r="C30" s="115" t="s">
        <v>161</v>
      </c>
      <c r="D30" s="116" t="s">
        <v>162</v>
      </c>
      <c r="E30" s="115"/>
      <c r="F30" s="133"/>
      <c r="G30" s="118"/>
      <c r="H30" s="118"/>
      <c r="I30" s="119"/>
      <c r="J30" s="120"/>
      <c r="K30" s="120"/>
      <c r="L30" s="120"/>
      <c r="M30" s="121"/>
      <c r="N30" s="122"/>
      <c r="O30" s="130"/>
      <c r="P30" s="130"/>
      <c r="Q30" s="131"/>
      <c r="R30" s="132"/>
    </row>
    <row r="31" ht="33.75" customHeight="1">
      <c r="A31" s="126" t="s">
        <v>106</v>
      </c>
      <c r="B31" s="106"/>
      <c r="C31" s="127" t="s">
        <v>163</v>
      </c>
      <c r="D31" s="128" t="s">
        <v>164</v>
      </c>
      <c r="E31" s="127" t="s">
        <v>26</v>
      </c>
      <c r="F31" s="133"/>
      <c r="G31" s="134"/>
      <c r="H31" s="134"/>
      <c r="I31" s="135"/>
      <c r="J31" s="136"/>
      <c r="K31" s="136"/>
      <c r="L31" s="136"/>
      <c r="M31" s="137"/>
      <c r="N31" s="130"/>
      <c r="O31" s="130"/>
      <c r="P31" s="130"/>
      <c r="Q31" s="131"/>
      <c r="R31" s="138"/>
    </row>
    <row r="32" ht="33.75" customHeight="1">
      <c r="A32" s="126" t="s">
        <v>106</v>
      </c>
      <c r="B32" s="106"/>
      <c r="C32" s="127" t="s">
        <v>165</v>
      </c>
      <c r="D32" s="128" t="s">
        <v>166</v>
      </c>
      <c r="E32" s="127" t="s">
        <v>132</v>
      </c>
      <c r="F32" s="133"/>
      <c r="G32" s="134"/>
      <c r="H32" s="134"/>
      <c r="I32" s="135"/>
      <c r="J32" s="136"/>
      <c r="K32" s="136"/>
      <c r="L32" s="136"/>
      <c r="M32" s="137"/>
      <c r="N32" s="130"/>
      <c r="O32" s="130"/>
      <c r="P32" s="130"/>
      <c r="Q32" s="131"/>
      <c r="R32" s="138"/>
    </row>
    <row r="33" ht="22.5" customHeight="1">
      <c r="A33" s="126" t="s">
        <v>106</v>
      </c>
      <c r="B33" s="106"/>
      <c r="C33" s="127" t="s">
        <v>167</v>
      </c>
      <c r="D33" s="128" t="s">
        <v>168</v>
      </c>
      <c r="E33" s="127" t="s">
        <v>26</v>
      </c>
      <c r="F33" s="133">
        <f>Generadores!I240+Generadores!I247</f>
        <v>20.140000000000001</v>
      </c>
      <c r="G33" s="134"/>
      <c r="H33" s="134"/>
      <c r="I33" s="135"/>
      <c r="J33" s="136"/>
      <c r="K33" s="136"/>
      <c r="L33" s="136"/>
      <c r="M33" s="137"/>
      <c r="N33" s="130"/>
      <c r="O33" s="130"/>
      <c r="P33" s="130"/>
      <c r="Q33" s="131"/>
      <c r="R33" s="138"/>
    </row>
    <row r="34" ht="30.75" customHeight="1">
      <c r="A34" s="126" t="s">
        <v>106</v>
      </c>
      <c r="B34" s="106"/>
      <c r="C34" s="127" t="s">
        <v>169</v>
      </c>
      <c r="D34" s="128" t="s">
        <v>170</v>
      </c>
      <c r="E34" s="127" t="s">
        <v>132</v>
      </c>
      <c r="F34" s="133"/>
      <c r="G34" s="134"/>
      <c r="H34" s="134"/>
      <c r="I34" s="135"/>
      <c r="J34" s="136"/>
      <c r="K34" s="136"/>
      <c r="L34" s="136"/>
      <c r="M34" s="137"/>
      <c r="N34" s="130"/>
      <c r="O34" s="130"/>
      <c r="P34" s="130"/>
      <c r="Q34" s="131"/>
      <c r="R34" s="138"/>
    </row>
    <row r="35" ht="15" customHeight="1">
      <c r="A35" s="114" t="s">
        <v>97</v>
      </c>
      <c r="B35" s="106" t="s">
        <v>94</v>
      </c>
      <c r="C35" s="144" t="s">
        <v>171</v>
      </c>
      <c r="D35" s="145" t="s">
        <v>172</v>
      </c>
      <c r="E35" s="144"/>
      <c r="F35" s="133"/>
      <c r="G35" s="118"/>
      <c r="H35" s="118"/>
      <c r="I35" s="119"/>
      <c r="J35" s="120"/>
      <c r="K35" s="120"/>
      <c r="L35" s="120"/>
      <c r="M35" s="121"/>
      <c r="N35" s="122"/>
      <c r="O35" s="130"/>
      <c r="P35" s="130"/>
      <c r="Q35" s="146"/>
      <c r="R35" s="147"/>
    </row>
    <row r="36" ht="52.5" customHeight="1">
      <c r="A36" s="126" t="s">
        <v>106</v>
      </c>
      <c r="B36" s="106"/>
      <c r="C36" s="127" t="s">
        <v>173</v>
      </c>
      <c r="D36" s="128" t="s">
        <v>174</v>
      </c>
      <c r="E36" s="127" t="s">
        <v>26</v>
      </c>
      <c r="F36" s="133"/>
      <c r="G36" s="134"/>
      <c r="H36" s="134"/>
      <c r="I36" s="135"/>
      <c r="J36" s="136"/>
      <c r="K36" s="136"/>
      <c r="L36" s="136"/>
      <c r="M36" s="137"/>
      <c r="N36" s="130"/>
      <c r="O36" s="130"/>
      <c r="P36" s="130"/>
      <c r="Q36" s="131"/>
      <c r="R36" s="138"/>
    </row>
    <row r="37" ht="49.5" customHeight="1">
      <c r="A37" s="126" t="s">
        <v>106</v>
      </c>
      <c r="B37" s="106"/>
      <c r="C37" s="127" t="s">
        <v>175</v>
      </c>
      <c r="D37" s="128" t="s">
        <v>176</v>
      </c>
      <c r="E37" s="127" t="s">
        <v>26</v>
      </c>
      <c r="F37" s="133">
        <f>Generadores!I277</f>
        <v>19.91</v>
      </c>
      <c r="G37" s="134"/>
      <c r="H37" s="134"/>
      <c r="I37" s="135"/>
      <c r="J37" s="136"/>
      <c r="K37" s="136"/>
      <c r="L37" s="136"/>
      <c r="M37" s="137"/>
      <c r="N37" s="130"/>
      <c r="O37" s="130"/>
      <c r="P37" s="130"/>
      <c r="Q37" s="131"/>
      <c r="R37" s="138"/>
    </row>
    <row r="38" ht="44.25" customHeight="1">
      <c r="A38" s="126" t="s">
        <v>106</v>
      </c>
      <c r="B38" s="106"/>
      <c r="C38" s="127" t="s">
        <v>177</v>
      </c>
      <c r="D38" s="128" t="s">
        <v>178</v>
      </c>
      <c r="E38" s="127" t="s">
        <v>26</v>
      </c>
      <c r="F38" s="133">
        <f>Generadores!I285</f>
        <v>19.91</v>
      </c>
      <c r="G38" s="134"/>
      <c r="H38" s="134"/>
      <c r="I38" s="135"/>
      <c r="J38" s="136"/>
      <c r="K38" s="136"/>
      <c r="L38" s="136"/>
      <c r="M38" s="137"/>
      <c r="N38" s="130"/>
      <c r="O38" s="130"/>
      <c r="P38" s="130"/>
      <c r="Q38" s="131"/>
      <c r="R38" s="138"/>
    </row>
    <row r="39" ht="33" customHeight="1">
      <c r="A39" s="126" t="s">
        <v>106</v>
      </c>
      <c r="B39" s="106"/>
      <c r="C39" s="127" t="s">
        <v>179</v>
      </c>
      <c r="D39" s="128" t="s">
        <v>180</v>
      </c>
      <c r="E39" s="127" t="s">
        <v>132</v>
      </c>
      <c r="F39" s="133">
        <f>Generadores!I293</f>
        <v>6.0199999999999996</v>
      </c>
      <c r="G39" s="134"/>
      <c r="H39" s="134"/>
      <c r="I39" s="135"/>
      <c r="J39" s="136"/>
      <c r="K39" s="136"/>
      <c r="L39" s="136"/>
      <c r="M39" s="137"/>
      <c r="N39" s="130"/>
      <c r="O39" s="130"/>
      <c r="P39" s="130"/>
      <c r="Q39" s="131"/>
      <c r="R39" s="138"/>
    </row>
    <row r="40" ht="42" customHeight="1">
      <c r="A40" s="126" t="s">
        <v>106</v>
      </c>
      <c r="B40" s="106"/>
      <c r="C40" s="127" t="s">
        <v>181</v>
      </c>
      <c r="D40" s="128" t="s">
        <v>182</v>
      </c>
      <c r="E40" s="127" t="s">
        <v>26</v>
      </c>
      <c r="F40" s="133">
        <f>Generadores!I303+Generadores!I312</f>
        <v>96.971499999999992</v>
      </c>
      <c r="G40" s="134"/>
      <c r="H40" s="134"/>
      <c r="I40" s="135"/>
      <c r="J40" s="136"/>
      <c r="K40" s="136"/>
      <c r="L40" s="136"/>
      <c r="M40" s="137"/>
      <c r="N40" s="130"/>
      <c r="O40" s="130"/>
      <c r="P40" s="130"/>
      <c r="Q40" s="131"/>
      <c r="R40" s="138"/>
    </row>
    <row r="41" ht="49.5" customHeight="1">
      <c r="A41" s="126" t="s">
        <v>106</v>
      </c>
      <c r="B41" s="106"/>
      <c r="C41" s="127" t="s">
        <v>183</v>
      </c>
      <c r="D41" s="128" t="s">
        <v>184</v>
      </c>
      <c r="E41" s="127" t="s">
        <v>26</v>
      </c>
      <c r="F41" s="133">
        <f>Generadores!I326</f>
        <v>20.32</v>
      </c>
      <c r="G41" s="134"/>
      <c r="H41" s="134"/>
      <c r="I41" s="135"/>
      <c r="J41" s="136"/>
      <c r="K41" s="136"/>
      <c r="L41" s="136"/>
      <c r="M41" s="137"/>
      <c r="N41" s="130"/>
      <c r="O41" s="130"/>
      <c r="P41" s="130"/>
      <c r="Q41" s="131"/>
      <c r="R41" s="138"/>
    </row>
    <row r="42" ht="15" customHeight="1">
      <c r="A42" s="114" t="s">
        <v>97</v>
      </c>
      <c r="B42" s="106" t="s">
        <v>94</v>
      </c>
      <c r="C42" s="115" t="s">
        <v>185</v>
      </c>
      <c r="D42" s="116" t="s">
        <v>186</v>
      </c>
      <c r="E42" s="115"/>
      <c r="F42" s="133"/>
      <c r="G42" s="118"/>
      <c r="H42" s="118"/>
      <c r="I42" s="119"/>
      <c r="J42" s="120"/>
      <c r="K42" s="120"/>
      <c r="L42" s="120"/>
      <c r="M42" s="121"/>
      <c r="N42" s="122"/>
      <c r="O42" s="130"/>
      <c r="P42" s="130"/>
      <c r="Q42" s="131"/>
      <c r="R42" s="132"/>
    </row>
    <row r="43" ht="60" customHeight="1">
      <c r="A43" s="126" t="s">
        <v>106</v>
      </c>
      <c r="B43" s="106"/>
      <c r="C43" s="140" t="s">
        <v>187</v>
      </c>
      <c r="D43" s="139" t="s">
        <v>188</v>
      </c>
      <c r="E43" s="140" t="s">
        <v>189</v>
      </c>
      <c r="F43" s="133">
        <f>Generadores!I333+Generadores!I340</f>
        <v>12</v>
      </c>
      <c r="G43" s="134"/>
      <c r="H43" s="134"/>
      <c r="I43" s="135"/>
      <c r="J43" s="136"/>
      <c r="K43" s="136"/>
      <c r="L43" s="136"/>
      <c r="M43" s="137"/>
      <c r="N43" s="130"/>
      <c r="O43" s="130"/>
      <c r="P43" s="130"/>
      <c r="Q43" s="141"/>
      <c r="R43" s="142"/>
    </row>
    <row r="44" ht="30" customHeight="1">
      <c r="A44" s="126" t="s">
        <v>106</v>
      </c>
      <c r="B44" s="106"/>
      <c r="C44" s="140" t="s">
        <v>190</v>
      </c>
      <c r="D44" s="128" t="s">
        <v>191</v>
      </c>
      <c r="E44" s="127" t="s">
        <v>189</v>
      </c>
      <c r="F44" s="133">
        <f>Generadores!I347+Generadores!I354</f>
        <v>2</v>
      </c>
      <c r="G44" s="134"/>
      <c r="H44" s="134"/>
      <c r="I44" s="135"/>
      <c r="J44" s="136"/>
      <c r="K44" s="136"/>
      <c r="L44" s="136"/>
      <c r="M44" s="137"/>
      <c r="N44" s="130"/>
      <c r="O44" s="130"/>
      <c r="P44" s="130"/>
      <c r="Q44" s="131"/>
      <c r="R44" s="138"/>
    </row>
    <row r="45" ht="17.25" customHeight="1">
      <c r="A45" s="114" t="s">
        <v>97</v>
      </c>
      <c r="B45" s="106" t="s">
        <v>94</v>
      </c>
      <c r="C45" s="115" t="s">
        <v>192</v>
      </c>
      <c r="D45" s="116" t="s">
        <v>193</v>
      </c>
      <c r="E45" s="115"/>
      <c r="F45" s="133"/>
      <c r="G45" s="134"/>
      <c r="H45" s="134"/>
      <c r="I45" s="135"/>
      <c r="J45" s="136"/>
      <c r="K45" s="136"/>
      <c r="L45" s="136"/>
      <c r="M45" s="137"/>
      <c r="N45" s="130"/>
      <c r="O45" s="130"/>
      <c r="P45" s="130"/>
      <c r="Q45" s="131"/>
      <c r="R45" s="138"/>
    </row>
    <row r="46" ht="27.75" customHeight="1">
      <c r="A46" s="126" t="s">
        <v>106</v>
      </c>
      <c r="B46" s="106"/>
      <c r="C46" s="127" t="s">
        <v>194</v>
      </c>
      <c r="D46" s="128" t="s">
        <v>195</v>
      </c>
      <c r="E46" s="127" t="s">
        <v>132</v>
      </c>
      <c r="F46" s="133"/>
      <c r="G46" s="134"/>
      <c r="H46" s="134"/>
      <c r="I46" s="135"/>
      <c r="J46" s="136"/>
      <c r="K46" s="136"/>
      <c r="L46" s="136"/>
      <c r="M46" s="137"/>
      <c r="N46" s="130"/>
      <c r="O46" s="130"/>
      <c r="P46" s="130"/>
      <c r="Q46" s="131"/>
      <c r="R46" s="138"/>
    </row>
    <row r="47" ht="15" customHeight="1">
      <c r="A47" s="114" t="s">
        <v>97</v>
      </c>
      <c r="B47" s="106" t="s">
        <v>94</v>
      </c>
      <c r="C47" s="115" t="s">
        <v>196</v>
      </c>
      <c r="D47" s="116" t="s">
        <v>197</v>
      </c>
      <c r="E47" s="115"/>
      <c r="F47" s="133"/>
      <c r="G47" s="118"/>
      <c r="H47" s="118"/>
      <c r="I47" s="119"/>
      <c r="J47" s="120"/>
      <c r="K47" s="120"/>
      <c r="L47" s="120"/>
      <c r="M47" s="121"/>
      <c r="N47" s="122"/>
      <c r="O47" s="130"/>
      <c r="P47" s="130"/>
      <c r="Q47" s="131"/>
      <c r="R47" s="132"/>
    </row>
    <row r="48" ht="57" customHeight="1">
      <c r="A48" s="126" t="s">
        <v>106</v>
      </c>
      <c r="B48" s="106"/>
      <c r="C48" s="127" t="s">
        <v>198</v>
      </c>
      <c r="D48" s="128" t="s">
        <v>199</v>
      </c>
      <c r="E48" s="127" t="s">
        <v>189</v>
      </c>
      <c r="F48" s="133"/>
      <c r="G48" s="134"/>
      <c r="H48" s="134"/>
      <c r="I48" s="135"/>
      <c r="J48" s="136"/>
      <c r="K48" s="136"/>
      <c r="L48" s="136"/>
      <c r="M48" s="137"/>
      <c r="N48" s="130"/>
      <c r="O48" s="130"/>
      <c r="P48" s="130"/>
      <c r="Q48" s="131"/>
      <c r="R48" s="138"/>
    </row>
    <row r="49" ht="60.75" customHeight="1">
      <c r="A49" s="126" t="s">
        <v>106</v>
      </c>
      <c r="B49" s="106"/>
      <c r="C49" s="127" t="s">
        <v>200</v>
      </c>
      <c r="D49" s="128" t="s">
        <v>201</v>
      </c>
      <c r="E49" s="127" t="s">
        <v>189</v>
      </c>
      <c r="F49" s="133"/>
      <c r="G49" s="134"/>
      <c r="H49" s="134"/>
      <c r="I49" s="135"/>
      <c r="J49" s="136"/>
      <c r="K49" s="136"/>
      <c r="L49" s="136"/>
      <c r="M49" s="137"/>
      <c r="N49" s="130"/>
      <c r="O49" s="130"/>
      <c r="P49" s="130"/>
      <c r="Q49" s="131"/>
      <c r="R49" s="138"/>
    </row>
    <row r="50" ht="48.75" customHeight="1">
      <c r="A50" s="126" t="s">
        <v>106</v>
      </c>
      <c r="B50" s="106"/>
      <c r="C50" s="127" t="s">
        <v>202</v>
      </c>
      <c r="D50" s="128" t="s">
        <v>203</v>
      </c>
      <c r="E50" s="127" t="s">
        <v>189</v>
      </c>
      <c r="F50" s="133"/>
      <c r="G50" s="134"/>
      <c r="H50" s="134"/>
      <c r="I50" s="135"/>
      <c r="J50" s="136"/>
      <c r="K50" s="136"/>
      <c r="L50" s="136"/>
      <c r="M50" s="137"/>
      <c r="N50" s="130"/>
      <c r="O50" s="130"/>
      <c r="P50" s="130"/>
      <c r="Q50" s="131"/>
      <c r="R50" s="138"/>
    </row>
    <row r="51" ht="48" customHeight="1">
      <c r="A51" s="126" t="s">
        <v>106</v>
      </c>
      <c r="B51" s="106"/>
      <c r="C51" s="127" t="s">
        <v>204</v>
      </c>
      <c r="D51" s="128" t="s">
        <v>205</v>
      </c>
      <c r="E51" s="127" t="s">
        <v>189</v>
      </c>
      <c r="F51" s="133"/>
      <c r="G51" s="134"/>
      <c r="H51" s="134"/>
      <c r="I51" s="135"/>
      <c r="J51" s="136"/>
      <c r="K51" s="136"/>
      <c r="L51" s="136"/>
      <c r="M51" s="137"/>
      <c r="N51" s="130"/>
      <c r="O51" s="130"/>
      <c r="P51" s="130"/>
      <c r="Q51" s="131"/>
      <c r="R51" s="138"/>
    </row>
    <row r="52" ht="24.75" customHeight="1">
      <c r="A52" s="126" t="s">
        <v>106</v>
      </c>
      <c r="B52" s="106"/>
      <c r="C52" s="127" t="s">
        <v>206</v>
      </c>
      <c r="D52" s="128" t="s">
        <v>207</v>
      </c>
      <c r="E52" s="127" t="s">
        <v>132</v>
      </c>
      <c r="F52" s="133"/>
      <c r="G52" s="134"/>
      <c r="H52" s="134"/>
      <c r="I52" s="135"/>
      <c r="J52" s="136"/>
      <c r="K52" s="136"/>
      <c r="L52" s="136"/>
      <c r="M52" s="137"/>
      <c r="N52" s="130"/>
      <c r="O52" s="130"/>
      <c r="P52" s="130"/>
      <c r="Q52" s="131"/>
      <c r="R52" s="138"/>
    </row>
    <row r="53" ht="22.5" customHeight="1">
      <c r="A53" s="126" t="s">
        <v>106</v>
      </c>
      <c r="B53" s="106"/>
      <c r="C53" s="127" t="s">
        <v>208</v>
      </c>
      <c r="D53" s="128" t="s">
        <v>195</v>
      </c>
      <c r="E53" s="127" t="s">
        <v>132</v>
      </c>
      <c r="F53" s="133"/>
      <c r="G53" s="134"/>
      <c r="H53" s="134"/>
      <c r="I53" s="135"/>
      <c r="J53" s="136"/>
      <c r="K53" s="136"/>
      <c r="L53" s="136"/>
      <c r="M53" s="137"/>
      <c r="N53" s="130"/>
      <c r="O53" s="130"/>
      <c r="P53" s="130"/>
      <c r="Q53" s="131"/>
      <c r="R53" s="138"/>
    </row>
    <row r="54" ht="38.25" customHeight="1">
      <c r="A54" s="126" t="s">
        <v>106</v>
      </c>
      <c r="B54" s="106"/>
      <c r="C54" s="127" t="s">
        <v>209</v>
      </c>
      <c r="D54" s="128" t="s">
        <v>210</v>
      </c>
      <c r="E54" s="127" t="s">
        <v>127</v>
      </c>
      <c r="F54" s="133"/>
      <c r="G54" s="134"/>
      <c r="H54" s="134"/>
      <c r="I54" s="135"/>
      <c r="J54" s="136"/>
      <c r="K54" s="136"/>
      <c r="L54" s="136"/>
      <c r="M54" s="137"/>
      <c r="N54" s="130"/>
      <c r="O54" s="130"/>
      <c r="P54" s="130"/>
      <c r="Q54" s="131"/>
      <c r="R54" s="138"/>
    </row>
    <row r="55" ht="29.25" customHeight="1">
      <c r="A55" s="126" t="s">
        <v>106</v>
      </c>
      <c r="B55" s="106"/>
      <c r="C55" s="127" t="s">
        <v>211</v>
      </c>
      <c r="D55" s="128" t="s">
        <v>212</v>
      </c>
      <c r="E55" s="127" t="s">
        <v>189</v>
      </c>
      <c r="F55" s="133"/>
      <c r="G55" s="134"/>
      <c r="H55" s="134"/>
      <c r="I55" s="135"/>
      <c r="J55" s="136"/>
      <c r="K55" s="136"/>
      <c r="L55" s="136"/>
      <c r="M55" s="137"/>
      <c r="N55" s="130"/>
      <c r="O55" s="130"/>
      <c r="P55" s="130"/>
      <c r="Q55" s="131"/>
      <c r="R55" s="138"/>
    </row>
    <row r="56" ht="52.5" customHeight="1">
      <c r="A56" s="126" t="s">
        <v>106</v>
      </c>
      <c r="B56" s="106"/>
      <c r="C56" s="127" t="s">
        <v>213</v>
      </c>
      <c r="D56" s="128" t="s">
        <v>214</v>
      </c>
      <c r="E56" s="127" t="s">
        <v>127</v>
      </c>
      <c r="F56" s="133"/>
      <c r="G56" s="134"/>
      <c r="H56" s="134"/>
      <c r="I56" s="135"/>
      <c r="J56" s="136"/>
      <c r="K56" s="136"/>
      <c r="L56" s="136"/>
      <c r="M56" s="137"/>
      <c r="N56" s="130"/>
      <c r="O56" s="130"/>
      <c r="P56" s="130"/>
      <c r="Q56" s="131"/>
      <c r="R56" s="138"/>
    </row>
    <row r="57" ht="54" customHeight="1">
      <c r="A57" s="126" t="s">
        <v>106</v>
      </c>
      <c r="B57" s="106"/>
      <c r="C57" s="127" t="s">
        <v>215</v>
      </c>
      <c r="D57" s="128" t="s">
        <v>216</v>
      </c>
      <c r="E57" s="127" t="s">
        <v>127</v>
      </c>
      <c r="F57" s="133"/>
      <c r="G57" s="134"/>
      <c r="H57" s="134"/>
      <c r="I57" s="135"/>
      <c r="J57" s="136"/>
      <c r="K57" s="136"/>
      <c r="L57" s="136"/>
      <c r="M57" s="137"/>
      <c r="N57" s="130"/>
      <c r="O57" s="130"/>
      <c r="P57" s="130"/>
      <c r="Q57" s="131"/>
      <c r="R57" s="138"/>
    </row>
    <row r="58" ht="18" customHeight="1">
      <c r="A58" s="114" t="s">
        <v>97</v>
      </c>
      <c r="B58" s="106" t="s">
        <v>94</v>
      </c>
      <c r="C58" s="115" t="s">
        <v>217</v>
      </c>
      <c r="D58" s="116" t="s">
        <v>218</v>
      </c>
      <c r="E58" s="115"/>
      <c r="F58" s="133"/>
      <c r="G58" s="118"/>
      <c r="H58" s="118"/>
      <c r="I58" s="119"/>
      <c r="J58" s="120"/>
      <c r="K58" s="120"/>
      <c r="L58" s="120"/>
      <c r="M58" s="121"/>
      <c r="N58" s="122"/>
      <c r="O58" s="130"/>
      <c r="P58" s="130"/>
      <c r="Q58" s="131"/>
      <c r="R58" s="132"/>
    </row>
    <row r="59" ht="36" customHeight="1">
      <c r="A59" s="126" t="s">
        <v>106</v>
      </c>
      <c r="B59" s="106"/>
      <c r="C59" s="127" t="s">
        <v>219</v>
      </c>
      <c r="D59" s="128" t="s">
        <v>220</v>
      </c>
      <c r="E59" s="127" t="s">
        <v>26</v>
      </c>
      <c r="F59" s="133"/>
      <c r="G59" s="134"/>
      <c r="H59" s="134"/>
      <c r="I59" s="135"/>
      <c r="J59" s="136"/>
      <c r="K59" s="136"/>
      <c r="L59" s="136"/>
      <c r="M59" s="137"/>
      <c r="N59" s="130"/>
      <c r="O59" s="130"/>
      <c r="P59" s="130"/>
      <c r="Q59" s="131"/>
      <c r="R59" s="138"/>
    </row>
    <row r="60" ht="15" customHeight="1">
      <c r="A60" s="126"/>
      <c r="B60" s="126"/>
      <c r="C60" s="148"/>
      <c r="D60" s="149"/>
      <c r="E60" s="149"/>
      <c r="F60" s="149"/>
      <c r="G60" s="134"/>
      <c r="H60" s="134" t="e">
        <f>H58+#REF!+#REF!+H47+H42+#REF!+H35+H30+H23+H7+H3</f>
        <v>#REF!</v>
      </c>
      <c r="I60" s="135"/>
      <c r="J60" s="150"/>
      <c r="K60" s="150"/>
      <c r="L60" s="136">
        <f>SUM(L7:L59)</f>
        <v>0</v>
      </c>
      <c r="M60" s="137"/>
      <c r="N60" s="151"/>
      <c r="O60" s="151"/>
      <c r="P60" s="130">
        <f>SUM(P7:P59)</f>
        <v>0</v>
      </c>
      <c r="Q60" s="152" t="s">
        <v>221</v>
      </c>
      <c r="R60" s="153" t="e">
        <f>R58+#REF!+#REF!+R47+R42+#REF!+R35+R30+R23+R7+R3</f>
        <v>#REF!</v>
      </c>
    </row>
    <row r="61" ht="15" customHeight="1">
      <c r="A61" s="126"/>
      <c r="B61" s="126"/>
      <c r="C61" s="148"/>
      <c r="D61" s="154"/>
      <c r="E61" s="148"/>
      <c r="F61" s="155"/>
      <c r="G61" s="138"/>
      <c r="H61" s="138"/>
      <c r="I61" s="156"/>
      <c r="J61" s="157"/>
      <c r="K61" s="157"/>
      <c r="L61" s="157"/>
      <c r="M61" s="157"/>
      <c r="N61" s="158"/>
      <c r="O61" s="158"/>
      <c r="P61" s="158"/>
      <c r="Q61" s="102"/>
      <c r="R61" s="102"/>
    </row>
    <row r="62" ht="38.25" customHeight="1">
      <c r="A62" s="126"/>
      <c r="B62" s="126"/>
      <c r="C62" s="148"/>
      <c r="D62" s="159" t="s">
        <v>222</v>
      </c>
      <c r="E62" s="159"/>
      <c r="F62" s="155"/>
      <c r="G62" s="138"/>
      <c r="H62" s="138"/>
      <c r="I62" s="156"/>
      <c r="J62" s="157"/>
      <c r="K62" s="157"/>
      <c r="L62" s="157"/>
      <c r="M62" s="157"/>
      <c r="N62" s="158"/>
      <c r="O62" s="158" t="s">
        <v>223</v>
      </c>
      <c r="P62" s="160">
        <f>P60+L60</f>
        <v>0</v>
      </c>
      <c r="Q62" s="102"/>
      <c r="R62" s="102"/>
    </row>
    <row r="63" ht="34.5" customHeight="1">
      <c r="A63" s="126"/>
      <c r="B63" s="126"/>
      <c r="C63" s="148"/>
      <c r="D63" s="159" t="s">
        <v>224</v>
      </c>
      <c r="E63" s="159"/>
      <c r="F63" s="155"/>
      <c r="G63" s="138"/>
      <c r="H63" s="138"/>
      <c r="I63" s="156"/>
      <c r="J63" s="157"/>
      <c r="K63" s="157"/>
      <c r="L63" s="157"/>
      <c r="M63" s="157"/>
      <c r="N63" s="158"/>
      <c r="O63" s="158"/>
      <c r="P63" s="161"/>
      <c r="Q63" s="102"/>
      <c r="R63" s="102"/>
    </row>
    <row r="64" ht="36" customHeight="1">
      <c r="A64" s="126"/>
      <c r="B64" s="126"/>
      <c r="C64" s="148"/>
      <c r="D64" s="159" t="s">
        <v>225</v>
      </c>
      <c r="E64" s="159"/>
      <c r="F64" s="155"/>
      <c r="G64" s="138"/>
      <c r="H64" s="138"/>
      <c r="I64" s="156"/>
      <c r="J64" s="157"/>
      <c r="K64" s="157"/>
      <c r="L64" s="157"/>
      <c r="M64" s="157"/>
      <c r="N64" s="158"/>
      <c r="O64" s="158"/>
      <c r="P64" s="158"/>
      <c r="Q64" s="102"/>
      <c r="R64" s="102"/>
    </row>
    <row r="65" ht="28.5" customHeight="1">
      <c r="A65" s="126"/>
      <c r="B65" s="126"/>
      <c r="C65" s="148"/>
      <c r="D65" s="159" t="s">
        <v>226</v>
      </c>
      <c r="E65" s="159"/>
      <c r="F65" s="155"/>
      <c r="G65" s="138"/>
      <c r="H65" s="138"/>
      <c r="I65" s="156"/>
      <c r="J65" s="157"/>
      <c r="K65" s="157"/>
      <c r="L65" s="157"/>
      <c r="M65" s="157"/>
      <c r="N65" s="158"/>
      <c r="O65" s="158"/>
      <c r="P65" s="162" t="e">
        <f>((R60/H60)-1)</f>
        <v>#REF!</v>
      </c>
      <c r="Q65" s="102"/>
      <c r="R65" s="102"/>
    </row>
    <row r="68" ht="15" customHeight="1">
      <c r="A68" s="163" t="s">
        <v>97</v>
      </c>
      <c r="B68" s="164" t="s">
        <v>94</v>
      </c>
      <c r="C68" s="115" t="s">
        <v>98</v>
      </c>
      <c r="D68" s="116" t="s">
        <v>172</v>
      </c>
      <c r="E68" s="115"/>
      <c r="F68" s="129"/>
    </row>
    <row r="69" ht="33.75" customHeight="1">
      <c r="A69" s="165" t="s">
        <v>106</v>
      </c>
      <c r="B69" s="164"/>
      <c r="C69" s="127" t="s">
        <v>107</v>
      </c>
      <c r="D69" s="128" t="s">
        <v>227</v>
      </c>
      <c r="E69" s="127" t="s">
        <v>26</v>
      </c>
      <c r="F69" s="129">
        <f>Generadores!I254+Generadores!I263</f>
        <v>96.791499999999999</v>
      </c>
    </row>
    <row r="70" ht="33.75" customHeight="1">
      <c r="A70" s="165" t="s">
        <v>106</v>
      </c>
      <c r="B70" s="164"/>
      <c r="C70" s="127" t="s">
        <v>109</v>
      </c>
      <c r="D70" s="128" t="s">
        <v>228</v>
      </c>
      <c r="E70" s="127" t="s">
        <v>26</v>
      </c>
      <c r="F70" s="129">
        <f>Generadores!I375</f>
        <v>2.3999999999999999</v>
      </c>
    </row>
    <row r="71" ht="33.75" customHeight="1">
      <c r="A71" s="165" t="s">
        <v>106</v>
      </c>
      <c r="B71" s="164"/>
      <c r="C71" s="127" t="s">
        <v>111</v>
      </c>
      <c r="D71" s="128" t="s">
        <v>229</v>
      </c>
      <c r="E71" s="127" t="s">
        <v>26</v>
      </c>
      <c r="F71" s="129"/>
    </row>
    <row r="72" ht="15" customHeight="1">
      <c r="A72" s="163" t="s">
        <v>97</v>
      </c>
      <c r="B72" s="164" t="s">
        <v>94</v>
      </c>
      <c r="C72" s="115" t="s">
        <v>114</v>
      </c>
      <c r="D72" s="116" t="s">
        <v>230</v>
      </c>
      <c r="E72" s="115"/>
      <c r="F72" s="129"/>
    </row>
    <row r="73" ht="33.75" customHeight="1">
      <c r="A73" s="165" t="s">
        <v>106</v>
      </c>
      <c r="B73" s="164"/>
      <c r="C73" s="127" t="s">
        <v>116</v>
      </c>
      <c r="D73" s="128" t="s">
        <v>227</v>
      </c>
      <c r="E73" s="127" t="s">
        <v>26</v>
      </c>
      <c r="F73" s="129">
        <f>Generadores!I254+Generadores!I263</f>
        <v>96.791499999999999</v>
      </c>
    </row>
    <row r="74" ht="33.75" customHeight="1">
      <c r="A74" s="165" t="s">
        <v>106</v>
      </c>
      <c r="B74" s="164"/>
      <c r="C74" s="127" t="s">
        <v>119</v>
      </c>
      <c r="D74" s="128" t="s">
        <v>228</v>
      </c>
      <c r="E74" s="127" t="s">
        <v>26</v>
      </c>
      <c r="F74" s="129">
        <f>Generadores!I375</f>
        <v>2.3999999999999999</v>
      </c>
    </row>
    <row r="75" ht="33.75" customHeight="1">
      <c r="A75" s="165" t="s">
        <v>106</v>
      </c>
      <c r="B75" s="164"/>
      <c r="C75" s="127" t="s">
        <v>121</v>
      </c>
      <c r="D75" s="128" t="s">
        <v>229</v>
      </c>
      <c r="E75" s="127" t="s">
        <v>26</v>
      </c>
      <c r="F75" s="129"/>
    </row>
  </sheetData>
  <mergeCells count="7">
    <mergeCell ref="I1:L1"/>
    <mergeCell ref="M1:P1"/>
    <mergeCell ref="D60:F60"/>
    <mergeCell ref="D62:E62"/>
    <mergeCell ref="D63:E63"/>
    <mergeCell ref="D64:E64"/>
    <mergeCell ref="D65:E65"/>
  </mergeCells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 arechiga</dc:creator>
  <dc:description/>
  <dc:language>en-US</dc:language>
  <cp:revision>3</cp:revision>
  <dcterms:created xsi:type="dcterms:W3CDTF">2023-11-06T15:38:07Z</dcterms:created>
  <dcterms:modified xsi:type="dcterms:W3CDTF">2026-07-23T22:05:39Z</dcterms:modified>
</cp:coreProperties>
</file>